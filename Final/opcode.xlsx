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S2115\HW\HW4\"/>
    </mc:Choice>
  </mc:AlternateContent>
  <xr:revisionPtr revIDLastSave="0" documentId="13_ncr:1_{F093E881-4391-4D77-BB2C-88DF781DAC18}" xr6:coauthVersionLast="47" xr6:coauthVersionMax="47" xr10:uidLastSave="{00000000-0000-0000-0000-000000000000}"/>
  <bookViews>
    <workbookView xWindow="3540" yWindow="552" windowWidth="17280" windowHeight="10008" activeTab="5" xr2:uid="{00000000-000D-0000-FFFF-FFFF00000000}"/>
  </bookViews>
  <sheets>
    <sheet name="工作表1" sheetId="1" r:id="rId1"/>
    <sheet name="工作表2" sheetId="2" r:id="rId2"/>
    <sheet name="test1" sheetId="3" r:id="rId3"/>
    <sheet name="test2" sheetId="4" r:id="rId4"/>
    <sheet name="test3" sheetId="5" r:id="rId5"/>
    <sheet name="test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6" l="1"/>
  <c r="X44" i="6" s="1"/>
  <c r="W44" i="6"/>
  <c r="V45" i="6"/>
  <c r="W45" i="6"/>
  <c r="X45" i="6" s="1"/>
  <c r="V46" i="6"/>
  <c r="X46" i="6" s="1"/>
  <c r="W46" i="6"/>
  <c r="T44" i="6"/>
  <c r="T45" i="6"/>
  <c r="T46" i="6"/>
  <c r="V31" i="6"/>
  <c r="X31" i="6" s="1"/>
  <c r="W31" i="6"/>
  <c r="V32" i="6"/>
  <c r="W32" i="6"/>
  <c r="X32" i="6"/>
  <c r="V33" i="6"/>
  <c r="W33" i="6"/>
  <c r="X33" i="6"/>
  <c r="V34" i="6"/>
  <c r="X34" i="6" s="1"/>
  <c r="W34" i="6"/>
  <c r="V35" i="6"/>
  <c r="X35" i="6" s="1"/>
  <c r="W35" i="6"/>
  <c r="V36" i="6"/>
  <c r="W36" i="6"/>
  <c r="X36" i="6"/>
  <c r="V37" i="6"/>
  <c r="W37" i="6"/>
  <c r="X37" i="6" s="1"/>
  <c r="V38" i="6"/>
  <c r="X38" i="6" s="1"/>
  <c r="W38" i="6"/>
  <c r="V39" i="6"/>
  <c r="X39" i="6" s="1"/>
  <c r="W39" i="6"/>
  <c r="V40" i="6"/>
  <c r="W40" i="6"/>
  <c r="X40" i="6"/>
  <c r="V41" i="6"/>
  <c r="W41" i="6"/>
  <c r="X41" i="6" s="1"/>
  <c r="V42" i="6"/>
  <c r="X42" i="6" s="1"/>
  <c r="W42" i="6"/>
  <c r="T31" i="6"/>
  <c r="T32" i="6"/>
  <c r="T33" i="6"/>
  <c r="T34" i="6"/>
  <c r="T35" i="6"/>
  <c r="T36" i="6"/>
  <c r="T37" i="6"/>
  <c r="T38" i="6"/>
  <c r="T39" i="6"/>
  <c r="T40" i="6"/>
  <c r="T41" i="6"/>
  <c r="T42" i="6"/>
  <c r="T29" i="6"/>
  <c r="W29" i="6" s="1"/>
  <c r="T28" i="6"/>
  <c r="W28" i="6" s="1"/>
  <c r="T27" i="6"/>
  <c r="V27" i="6" s="1"/>
  <c r="T26" i="6"/>
  <c r="W26" i="6" s="1"/>
  <c r="T25" i="6"/>
  <c r="W25" i="6" s="1"/>
  <c r="T24" i="6"/>
  <c r="V24" i="6" s="1"/>
  <c r="T23" i="6"/>
  <c r="W23" i="6" s="1"/>
  <c r="T22" i="6"/>
  <c r="W22" i="6" s="1"/>
  <c r="T21" i="6"/>
  <c r="V21" i="6" s="1"/>
  <c r="T20" i="6"/>
  <c r="W20" i="6" s="1"/>
  <c r="T19" i="6"/>
  <c r="W19" i="6" s="1"/>
  <c r="T17" i="6"/>
  <c r="V17" i="6" s="1"/>
  <c r="T16" i="6"/>
  <c r="W16" i="6" s="1"/>
  <c r="T15" i="6"/>
  <c r="W15" i="6" s="1"/>
  <c r="T14" i="6"/>
  <c r="V14" i="6" s="1"/>
  <c r="T13" i="6"/>
  <c r="W13" i="6" s="1"/>
  <c r="W12" i="6"/>
  <c r="V12" i="6"/>
  <c r="X12" i="6" s="1"/>
  <c r="T11" i="6"/>
  <c r="W11" i="6" s="1"/>
  <c r="T10" i="6"/>
  <c r="W10" i="6" s="1"/>
  <c r="T9" i="6"/>
  <c r="W9" i="6" s="1"/>
  <c r="T8" i="6"/>
  <c r="W8" i="6" s="1"/>
  <c r="T7" i="6"/>
  <c r="W7" i="6" s="1"/>
  <c r="T6" i="6"/>
  <c r="W6" i="6" s="1"/>
  <c r="T26" i="5"/>
  <c r="V26" i="5" s="1"/>
  <c r="T24" i="5"/>
  <c r="V24" i="5" s="1"/>
  <c r="T21" i="5"/>
  <c r="W21" i="5" s="1"/>
  <c r="T17" i="5"/>
  <c r="V17" i="5" s="1"/>
  <c r="T18" i="5"/>
  <c r="V18" i="5" s="1"/>
  <c r="T19" i="5"/>
  <c r="V19" i="5" s="1"/>
  <c r="T20" i="5"/>
  <c r="V20" i="5" s="1"/>
  <c r="T22" i="5"/>
  <c r="V22" i="5" s="1"/>
  <c r="T23" i="5"/>
  <c r="V23" i="5" s="1"/>
  <c r="T25" i="5"/>
  <c r="V25" i="5" s="1"/>
  <c r="T27" i="5"/>
  <c r="V27" i="5" s="1"/>
  <c r="T15" i="5"/>
  <c r="W15" i="5" s="1"/>
  <c r="T14" i="5"/>
  <c r="V14" i="5" s="1"/>
  <c r="T13" i="5"/>
  <c r="V13" i="5" s="1"/>
  <c r="T12" i="5"/>
  <c r="W12" i="5" s="1"/>
  <c r="T11" i="5"/>
  <c r="W11" i="5" s="1"/>
  <c r="W10" i="5"/>
  <c r="V10" i="5"/>
  <c r="X10" i="5" s="1"/>
  <c r="T9" i="5"/>
  <c r="W9" i="5" s="1"/>
  <c r="T8" i="5"/>
  <c r="V8" i="5" s="1"/>
  <c r="T7" i="5"/>
  <c r="V7" i="5" s="1"/>
  <c r="T6" i="5"/>
  <c r="W6" i="5" s="1"/>
  <c r="T5" i="5"/>
  <c r="W5" i="5" s="1"/>
  <c r="T4" i="5"/>
  <c r="V4" i="5" s="1"/>
  <c r="T14" i="4"/>
  <c r="T13" i="4"/>
  <c r="V13" i="4" s="1"/>
  <c r="V8" i="4"/>
  <c r="W8" i="4"/>
  <c r="X8" i="4" s="1"/>
  <c r="V10" i="4"/>
  <c r="W10" i="4"/>
  <c r="X10" i="4"/>
  <c r="V15" i="4"/>
  <c r="W15" i="4"/>
  <c r="X15" i="4"/>
  <c r="T11" i="4"/>
  <c r="V11" i="4" s="1"/>
  <c r="T12" i="4"/>
  <c r="W12" i="4" s="1"/>
  <c r="V14" i="4"/>
  <c r="T15" i="4"/>
  <c r="T9" i="4"/>
  <c r="V9" i="4" s="1"/>
  <c r="T8" i="4"/>
  <c r="T7" i="4"/>
  <c r="V7" i="4" s="1"/>
  <c r="T6" i="4"/>
  <c r="W6" i="4" s="1"/>
  <c r="T5" i="4"/>
  <c r="V5" i="4" s="1"/>
  <c r="T4" i="4"/>
  <c r="V4" i="4" s="1"/>
  <c r="T8" i="3"/>
  <c r="T4" i="3"/>
  <c r="T5" i="3"/>
  <c r="T6" i="3"/>
  <c r="T7" i="3"/>
  <c r="T9" i="3"/>
  <c r="W21" i="6" l="1"/>
  <c r="X21" i="6" s="1"/>
  <c r="W14" i="6"/>
  <c r="W24" i="6"/>
  <c r="X24" i="6" s="1"/>
  <c r="V8" i="6"/>
  <c r="X8" i="6" s="1"/>
  <c r="W27" i="6"/>
  <c r="X27" i="6" s="1"/>
  <c r="V11" i="6"/>
  <c r="X11" i="6" s="1"/>
  <c r="W17" i="6"/>
  <c r="X17" i="6" s="1"/>
  <c r="X14" i="6"/>
  <c r="V15" i="6"/>
  <c r="X15" i="6" s="1"/>
  <c r="V19" i="6"/>
  <c r="X19" i="6" s="1"/>
  <c r="V22" i="6"/>
  <c r="X22" i="6" s="1"/>
  <c r="V25" i="6"/>
  <c r="X25" i="6" s="1"/>
  <c r="V28" i="6"/>
  <c r="X28" i="6" s="1"/>
  <c r="V6" i="6"/>
  <c r="X6" i="6" s="1"/>
  <c r="V9" i="6"/>
  <c r="X9" i="6" s="1"/>
  <c r="V13" i="6"/>
  <c r="X13" i="6" s="1"/>
  <c r="V16" i="6"/>
  <c r="X16" i="6" s="1"/>
  <c r="V20" i="6"/>
  <c r="X20" i="6" s="1"/>
  <c r="V23" i="6"/>
  <c r="X23" i="6" s="1"/>
  <c r="V26" i="6"/>
  <c r="X26" i="6" s="1"/>
  <c r="V29" i="6"/>
  <c r="X29" i="6" s="1"/>
  <c r="V7" i="6"/>
  <c r="X7" i="6" s="1"/>
  <c r="V10" i="6"/>
  <c r="X10" i="6" s="1"/>
  <c r="W27" i="5"/>
  <c r="X27" i="5" s="1"/>
  <c r="W25" i="5"/>
  <c r="X25" i="5" s="1"/>
  <c r="V21" i="5"/>
  <c r="X21" i="5" s="1"/>
  <c r="W20" i="5"/>
  <c r="X20" i="5" s="1"/>
  <c r="W18" i="5"/>
  <c r="X18" i="5" s="1"/>
  <c r="W24" i="5"/>
  <c r="X24" i="5" s="1"/>
  <c r="W23" i="5"/>
  <c r="X23" i="5" s="1"/>
  <c r="W17" i="5"/>
  <c r="X17" i="5" s="1"/>
  <c r="W22" i="5"/>
  <c r="X22" i="5" s="1"/>
  <c r="W26" i="5"/>
  <c r="X26" i="5" s="1"/>
  <c r="W19" i="5"/>
  <c r="X19" i="5" s="1"/>
  <c r="W13" i="5"/>
  <c r="X13" i="5" s="1"/>
  <c r="W4" i="5"/>
  <c r="X4" i="5" s="1"/>
  <c r="W7" i="5"/>
  <c r="X7" i="5" s="1"/>
  <c r="V11" i="5"/>
  <c r="X11" i="5" s="1"/>
  <c r="V5" i="5"/>
  <c r="X5" i="5" s="1"/>
  <c r="W14" i="5"/>
  <c r="X14" i="5" s="1"/>
  <c r="W8" i="5"/>
  <c r="X8" i="5" s="1"/>
  <c r="V15" i="5"/>
  <c r="X15" i="5" s="1"/>
  <c r="V12" i="5"/>
  <c r="X12" i="5" s="1"/>
  <c r="V6" i="5"/>
  <c r="X6" i="5" s="1"/>
  <c r="V9" i="5"/>
  <c r="X9" i="5" s="1"/>
  <c r="V12" i="4"/>
  <c r="X12" i="4" s="1"/>
  <c r="W4" i="4"/>
  <c r="X4" i="4" s="1"/>
  <c r="W7" i="4"/>
  <c r="X7" i="4" s="1"/>
  <c r="W11" i="4"/>
  <c r="X11" i="4" s="1"/>
  <c r="V6" i="4"/>
  <c r="X6" i="4" s="1"/>
  <c r="W5" i="4"/>
  <c r="X5" i="4" s="1"/>
  <c r="W14" i="4"/>
  <c r="X14" i="4" s="1"/>
  <c r="W9" i="4"/>
  <c r="X9" i="4" s="1"/>
  <c r="W13" i="4"/>
  <c r="X13" i="4" s="1"/>
</calcChain>
</file>

<file path=xl/sharedStrings.xml><?xml version="1.0" encoding="utf-8"?>
<sst xmlns="http://schemas.openxmlformats.org/spreadsheetml/2006/main" count="494" uniqueCount="125">
  <si>
    <t>li</t>
  </si>
  <si>
    <t>add</t>
  </si>
  <si>
    <t>and</t>
  </si>
  <si>
    <t>or</t>
  </si>
  <si>
    <t>load</t>
  </si>
  <si>
    <t>store</t>
  </si>
  <si>
    <t>move</t>
  </si>
  <si>
    <t>addi</t>
  </si>
  <si>
    <t>andi</t>
  </si>
  <si>
    <t>ori</t>
  </si>
  <si>
    <t>ble</t>
  </si>
  <si>
    <t>bne</t>
  </si>
  <si>
    <t>jump</t>
  </si>
  <si>
    <t>call</t>
  </si>
  <si>
    <t>rtn</t>
  </si>
  <si>
    <t>halt</t>
  </si>
  <si>
    <t>Instructions</t>
    <phoneticPr fontId="2" type="noConversion"/>
  </si>
  <si>
    <t>Format</t>
  </si>
  <si>
    <t>add $r1, $r2, $r3</t>
  </si>
  <si>
    <t>and $r1, $r2, $r3</t>
  </si>
  <si>
    <t>or $r1, $r2, $r3</t>
  </si>
  <si>
    <t>ld    $r1, $r2</t>
  </si>
  <si>
    <t>st   $r1, $r2</t>
  </si>
  <si>
    <t>move $r1, $r2</t>
  </si>
  <si>
    <t>addi $r1, $r2, x</t>
  </si>
  <si>
    <t>andi $r1, $r2, x</t>
  </si>
  <si>
    <t>ori $r1, $r2, x</t>
  </si>
  <si>
    <t>ble $r1, $r2, x</t>
  </si>
  <si>
    <t>bne $r1, $r2, x</t>
  </si>
  <si>
    <t>jump x</t>
  </si>
  <si>
    <t>call x</t>
  </si>
  <si>
    <t>li $r1, x</t>
    <phoneticPr fontId="2" type="noConversion"/>
  </si>
  <si>
    <t>Destination register</t>
    <phoneticPr fontId="2" type="noConversion"/>
  </si>
  <si>
    <t>R1</t>
    <phoneticPr fontId="2" type="noConversion"/>
  </si>
  <si>
    <t>R2</t>
    <phoneticPr fontId="2" type="noConversion"/>
  </si>
  <si>
    <t>opcode</t>
    <phoneticPr fontId="2" type="noConversion"/>
  </si>
  <si>
    <t>R-Type</t>
    <phoneticPr fontId="2" type="noConversion"/>
  </si>
  <si>
    <t>I-Type</t>
    <phoneticPr fontId="2" type="noConversion"/>
  </si>
  <si>
    <t>Immediate</t>
    <phoneticPr fontId="2" type="noConversion"/>
  </si>
  <si>
    <t>0000</t>
    <phoneticPr fontId="2" type="noConversion"/>
  </si>
  <si>
    <t>0001</t>
    <phoneticPr fontId="2" type="noConversion"/>
  </si>
  <si>
    <t>0010</t>
    <phoneticPr fontId="2" type="noConversion"/>
  </si>
  <si>
    <t>0011</t>
    <phoneticPr fontId="2" type="noConversion"/>
  </si>
  <si>
    <t>0100</t>
    <phoneticPr fontId="2" type="noConversion"/>
  </si>
  <si>
    <t>0101</t>
    <phoneticPr fontId="2" type="noConversion"/>
  </si>
  <si>
    <t>0110</t>
    <phoneticPr fontId="2" type="noConversion"/>
  </si>
  <si>
    <t>0111</t>
    <phoneticPr fontId="2" type="noConversion"/>
  </si>
  <si>
    <t>1000</t>
    <phoneticPr fontId="2" type="noConversion"/>
  </si>
  <si>
    <t>1001</t>
    <phoneticPr fontId="2" type="noConversion"/>
  </si>
  <si>
    <t>1010</t>
    <phoneticPr fontId="2" type="noConversion"/>
  </si>
  <si>
    <t>1011</t>
    <phoneticPr fontId="2" type="noConversion"/>
  </si>
  <si>
    <t>1100</t>
    <phoneticPr fontId="2" type="noConversion"/>
  </si>
  <si>
    <t>1101</t>
    <phoneticPr fontId="2" type="noConversion"/>
  </si>
  <si>
    <t>1110</t>
    <phoneticPr fontId="2" type="noConversion"/>
  </si>
  <si>
    <t>1111</t>
    <phoneticPr fontId="2" type="noConversion"/>
  </si>
  <si>
    <t>x</t>
    <phoneticPr fontId="2" type="noConversion"/>
  </si>
  <si>
    <t>Type</t>
    <phoneticPr fontId="2" type="noConversion"/>
  </si>
  <si>
    <t>1 (Imm)</t>
  </si>
  <si>
    <t>0 (ALU)</t>
  </si>
  <si>
    <t>Instruction</t>
  </si>
  <si>
    <t>RegWrite</t>
  </si>
  <si>
    <t>ALUSrc</t>
  </si>
  <si>
    <t>ALUOp</t>
  </si>
  <si>
    <t>MemRead</t>
  </si>
  <si>
    <t>MemWrite</t>
  </si>
  <si>
    <t>MemToReg</t>
  </si>
  <si>
    <t>Branch</t>
  </si>
  <si>
    <t>Jump</t>
  </si>
  <si>
    <t>Halt</t>
  </si>
  <si>
    <t>0 (Reg)</t>
  </si>
  <si>
    <t>ADD</t>
  </si>
  <si>
    <t>AND</t>
  </si>
  <si>
    <t>OR</t>
  </si>
  <si>
    <t>ld</t>
  </si>
  <si>
    <t>1 (Mem)</t>
  </si>
  <si>
    <t>x</t>
  </si>
  <si>
    <t>st</t>
    <phoneticPr fontId="2" type="noConversion"/>
  </si>
  <si>
    <t>RegDst</t>
  </si>
  <si>
    <t>ALUOp1 (Bit 2)</t>
  </si>
  <si>
    <t>ALUOp2 (Bit 1)</t>
  </si>
  <si>
    <t>ALUOp3 (Bit 0)</t>
  </si>
  <si>
    <t>RegDst</t>
    <phoneticPr fontId="2" type="noConversion"/>
  </si>
  <si>
    <t>Call</t>
    <phoneticPr fontId="2" type="noConversion"/>
  </si>
  <si>
    <t>Rtn</t>
    <phoneticPr fontId="2" type="noConversion"/>
  </si>
  <si>
    <t>Address  Assembly                  Machine Code (Hex)   Binary</t>
  </si>
  <si>
    <t>----------------------------------------------------------------------</t>
  </si>
  <si>
    <t>0x02     li $r2, 2                 0x02, 0x02          00000010 00000010</t>
  </si>
  <si>
    <t>0x04     li $r3, 10                0x03, 0x0A          00000011 00001010</t>
  </si>
  <si>
    <t>0x06     add $r2, $r1, $r2         0x26                00100110</t>
  </si>
  <si>
    <t>0x07     ble $r2, $r3, -1          0x4B, 0xFF          01001011 11111111</t>
  </si>
  <si>
    <t>0x09     halt                      0xE0                11100000</t>
  </si>
  <si>
    <t>0x00     li $r1, 1                 0x01, 0x01          00000001 00000001</t>
    <phoneticPr fontId="2" type="noConversion"/>
  </si>
  <si>
    <t>30A0</t>
    <phoneticPr fontId="2" type="noConversion"/>
  </si>
  <si>
    <t>B5FA</t>
    <phoneticPr fontId="2" type="noConversion"/>
  </si>
  <si>
    <t>li $r1, 6</t>
  </si>
  <si>
    <t>li $r2, 5</t>
  </si>
  <si>
    <t>andi $r3, $r1, 3</t>
  </si>
  <si>
    <t>ori $r4, $r3, 8</t>
  </si>
  <si>
    <t>000f</t>
    <phoneticPr fontId="2" type="noConversion"/>
  </si>
  <si>
    <t>and $r3, $r1, $r2</t>
  </si>
  <si>
    <t>or $r4, $r1, $r2</t>
  </si>
  <si>
    <t>li $r7, 0</t>
  </si>
  <si>
    <t>li $r7, 1</t>
  </si>
  <si>
    <r>
      <t xml:space="preserve">0x07     ble </t>
    </r>
    <r>
      <rPr>
        <sz val="11"/>
        <color theme="9" tint="-0.249977111117893"/>
        <rFont val="新細明體"/>
        <family val="1"/>
        <scheme val="minor"/>
      </rPr>
      <t>$r2</t>
    </r>
    <r>
      <rPr>
        <sz val="11"/>
        <color theme="1"/>
        <rFont val="新細明體"/>
        <family val="2"/>
        <scheme val="minor"/>
      </rPr>
      <t>,</t>
    </r>
    <r>
      <rPr>
        <sz val="11"/>
        <color rgb="FFFF0000"/>
        <rFont val="新細明體"/>
        <family val="1"/>
        <scheme val="minor"/>
      </rPr>
      <t xml:space="preserve"> $r3</t>
    </r>
    <r>
      <rPr>
        <sz val="11"/>
        <color theme="1"/>
        <rFont val="新細明體"/>
        <family val="2"/>
        <scheme val="minor"/>
      </rPr>
      <t>, -1          0x4B, 0xFF          01001011 11111111</t>
    </r>
    <phoneticPr fontId="2" type="noConversion"/>
  </si>
  <si>
    <r>
      <t xml:space="preserve">0x06     add </t>
    </r>
    <r>
      <rPr>
        <sz val="11"/>
        <color theme="7"/>
        <rFont val="新細明體"/>
        <family val="1"/>
        <scheme val="minor"/>
      </rPr>
      <t>$r2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9" tint="-0.249977111117893"/>
        <rFont val="新細明體"/>
        <family val="1"/>
        <scheme val="minor"/>
      </rPr>
      <t>$r1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rgb="FFFF0000"/>
        <rFont val="新細明體"/>
        <family val="1"/>
        <scheme val="minor"/>
      </rPr>
      <t>$r2</t>
    </r>
    <r>
      <rPr>
        <sz val="11"/>
        <color theme="1"/>
        <rFont val="新細明體"/>
        <family val="2"/>
        <scheme val="minor"/>
      </rPr>
      <t xml:space="preserve">         0x26                00100110</t>
    </r>
    <phoneticPr fontId="2" type="noConversion"/>
  </si>
  <si>
    <r>
      <t xml:space="preserve">store </t>
    </r>
    <r>
      <rPr>
        <sz val="11"/>
        <color theme="9" tint="-0.249977111117893"/>
        <rFont val="Calibri"/>
        <family val="2"/>
      </rPr>
      <t>$r3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  <family val="2"/>
      </rPr>
      <t>$r7</t>
    </r>
    <phoneticPr fontId="2" type="noConversion"/>
  </si>
  <si>
    <r>
      <t xml:space="preserve">store </t>
    </r>
    <r>
      <rPr>
        <sz val="11"/>
        <color theme="9" tint="-0.249977111117893"/>
        <rFont val="Calibri"/>
        <family val="2"/>
      </rPr>
      <t>$r4</t>
    </r>
    <r>
      <rPr>
        <sz val="11"/>
        <color rgb="FF000000"/>
        <rFont val="Calibri"/>
        <family val="2"/>
      </rPr>
      <t xml:space="preserve">, </t>
    </r>
    <r>
      <rPr>
        <sz val="11"/>
        <color rgb="FFFF0000"/>
        <rFont val="Calibri"/>
        <family val="2"/>
      </rPr>
      <t>$r7</t>
    </r>
    <phoneticPr fontId="2" type="noConversion"/>
  </si>
  <si>
    <r>
      <t xml:space="preserve">load </t>
    </r>
    <r>
      <rPr>
        <sz val="11"/>
        <color theme="9" tint="-0.249977111117893"/>
        <rFont val="Calibri"/>
        <family val="2"/>
      </rPr>
      <t>$r6</t>
    </r>
    <r>
      <rPr>
        <sz val="11"/>
        <color rgb="FF000000"/>
        <rFont val="Calibri"/>
        <family val="2"/>
      </rPr>
      <t>,</t>
    </r>
    <r>
      <rPr>
        <sz val="11"/>
        <color rgb="FFFF0000"/>
        <rFont val="Calibri"/>
        <family val="2"/>
      </rPr>
      <t xml:space="preserve"> $r7</t>
    </r>
    <phoneticPr fontId="2" type="noConversion"/>
  </si>
  <si>
    <t>ALUOp0</t>
    <phoneticPr fontId="2" type="noConversion"/>
  </si>
  <si>
    <t>ALUOp1</t>
    <phoneticPr fontId="2" type="noConversion"/>
  </si>
  <si>
    <t>ALUOp2</t>
    <phoneticPr fontId="2" type="noConversion"/>
  </si>
  <si>
    <t>li(Data1)</t>
    <phoneticPr fontId="2" type="noConversion"/>
  </si>
  <si>
    <t>li(Data2)</t>
    <phoneticPr fontId="2" type="noConversion"/>
  </si>
  <si>
    <t>li $r2, 4</t>
  </si>
  <si>
    <t>call 7</t>
  </si>
  <si>
    <t>move $r4, $r3</t>
  </si>
  <si>
    <t>li $r1, 7</t>
  </si>
  <si>
    <t>li $r2, 8</t>
  </si>
  <si>
    <t>call 3</t>
  </si>
  <si>
    <t>move $r5, $r3</t>
  </si>
  <si>
    <t>jump 3</t>
  </si>
  <si>
    <t>add $r3, $r1, $r2</t>
  </si>
  <si>
    <t>J-Type</t>
    <phoneticPr fontId="2" type="noConversion"/>
  </si>
  <si>
    <t>Li $r1, 2</t>
  </si>
  <si>
    <t>Addi $r2 $r1,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</si>
</sst>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FF0000"/>
      <name val="新細明體"/>
      <family val="1"/>
      <scheme val="minor"/>
    </font>
    <font>
      <sz val="11"/>
      <color theme="9" tint="-0.249977111117893"/>
      <name val="新細明體"/>
      <family val="1"/>
      <scheme val="minor"/>
    </font>
    <font>
      <sz val="11"/>
      <color theme="9" tint="-0.249977111117893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color theme="7"/>
      <name val="新細明體"/>
      <family val="1"/>
      <scheme val="minor"/>
    </font>
    <font>
      <sz val="11"/>
      <color theme="9" tint="-0.249977111117893"/>
      <name val="Calibri"/>
      <family val="2"/>
    </font>
    <font>
      <sz val="11"/>
      <color rgb="FFFF0000"/>
      <name val="Calibri"/>
      <family val="2"/>
    </font>
    <font>
      <sz val="11"/>
      <color theme="2" tint="-0.89999084444715716"/>
      <name val="新細明體"/>
      <family val="2"/>
      <scheme val="minor"/>
    </font>
    <font>
      <sz val="11"/>
      <color theme="1" tint="4.9989318521683403E-2"/>
      <name val="新細明體"/>
      <family val="2"/>
      <scheme val="minor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/>
    <xf numFmtId="49" fontId="1" fillId="0" borderId="3" xfId="0" applyNumberFormat="1" applyFont="1" applyBorder="1"/>
    <xf numFmtId="0" fontId="1" fillId="0" borderId="0" xfId="0" applyFont="1"/>
    <xf numFmtId="0" fontId="0" fillId="6" borderId="0" xfId="0" applyFill="1"/>
    <xf numFmtId="49" fontId="0" fillId="6" borderId="0" xfId="0" applyNumberFormat="1" applyFill="1"/>
    <xf numFmtId="49" fontId="0" fillId="7" borderId="0" xfId="0" applyNumberFormat="1" applyFill="1" applyAlignment="1">
      <alignment horizontal="center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3" fillId="9" borderId="6" xfId="0" applyFont="1" applyFill="1" applyBorder="1" applyAlignment="1">
      <alignment horizontal="right" wrapText="1"/>
    </xf>
    <xf numFmtId="0" fontId="0" fillId="0" borderId="0" xfId="0" applyAlignment="1">
      <alignment vertical="center"/>
    </xf>
    <xf numFmtId="0" fontId="3" fillId="11" borderId="6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2" borderId="6" xfId="0" applyFont="1" applyFill="1" applyBorder="1" applyAlignment="1">
      <alignment horizontal="right" wrapText="1"/>
    </xf>
    <xf numFmtId="0" fontId="12" fillId="0" borderId="0" xfId="0" applyFont="1"/>
    <xf numFmtId="0" fontId="13" fillId="0" borderId="0" xfId="0" applyFont="1"/>
    <xf numFmtId="49" fontId="0" fillId="0" borderId="0" xfId="0" applyNumberFormat="1" applyFill="1"/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0" fontId="0" fillId="2" borderId="0" xfId="0" applyFill="1" applyAlignment="1"/>
    <xf numFmtId="0" fontId="0" fillId="0" borderId="0" xfId="0" applyFill="1"/>
    <xf numFmtId="0" fontId="1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"/>
  <sheetViews>
    <sheetView topLeftCell="A18" workbookViewId="0">
      <selection activeCell="H31" sqref="H31"/>
    </sheetView>
  </sheetViews>
  <sheetFormatPr defaultRowHeight="15" x14ac:dyDescent="0.3"/>
  <cols>
    <col min="1" max="1" width="11.75" bestFit="1" customWidth="1"/>
    <col min="2" max="2" width="17.375" bestFit="1" customWidth="1"/>
    <col min="3" max="3" width="9" style="12"/>
    <col min="4" max="4" width="12.625" customWidth="1"/>
    <col min="6" max="6" width="13" customWidth="1"/>
    <col min="12" max="12" width="13.125" customWidth="1"/>
    <col min="13" max="13" width="12.375" customWidth="1"/>
    <col min="14" max="14" width="13" customWidth="1"/>
  </cols>
  <sheetData>
    <row r="1" spans="1:24" ht="15.6" thickBot="1" x14ac:dyDescent="0.35">
      <c r="A1" t="s">
        <v>16</v>
      </c>
      <c r="B1" s="8" t="s">
        <v>17</v>
      </c>
      <c r="C1" s="10" t="s">
        <v>35</v>
      </c>
      <c r="D1" t="s">
        <v>56</v>
      </c>
      <c r="E1">
        <v>7</v>
      </c>
      <c r="I1" s="13">
        <v>15</v>
      </c>
      <c r="J1">
        <v>14</v>
      </c>
      <c r="K1">
        <v>13</v>
      </c>
      <c r="L1">
        <v>12</v>
      </c>
      <c r="M1">
        <v>11</v>
      </c>
      <c r="N1">
        <v>10</v>
      </c>
      <c r="O1">
        <v>9</v>
      </c>
      <c r="P1">
        <v>8</v>
      </c>
      <c r="S1">
        <v>5</v>
      </c>
      <c r="T1">
        <v>4</v>
      </c>
      <c r="U1">
        <v>3</v>
      </c>
      <c r="V1">
        <v>2</v>
      </c>
      <c r="W1">
        <v>1</v>
      </c>
      <c r="X1">
        <v>0</v>
      </c>
    </row>
    <row r="2" spans="1:24" ht="15.6" thickBot="1" x14ac:dyDescent="0.35">
      <c r="A2" s="1" t="s">
        <v>0</v>
      </c>
      <c r="B2" s="9" t="s">
        <v>31</v>
      </c>
      <c r="C2" s="11" t="s">
        <v>39</v>
      </c>
      <c r="G2" s="22" t="s">
        <v>36</v>
      </c>
      <c r="H2" s="22"/>
      <c r="I2" s="13" t="s">
        <v>35</v>
      </c>
      <c r="J2" s="21" t="s">
        <v>34</v>
      </c>
      <c r="K2" s="21"/>
      <c r="L2" s="21"/>
      <c r="M2" s="20" t="s">
        <v>33</v>
      </c>
      <c r="N2" s="20"/>
      <c r="O2" s="20"/>
      <c r="P2" s="5" t="s">
        <v>32</v>
      </c>
      <c r="Q2" s="5"/>
      <c r="R2" s="5"/>
      <c r="S2" s="24" t="s">
        <v>35</v>
      </c>
      <c r="T2" s="24"/>
      <c r="U2" s="24"/>
      <c r="V2" s="24"/>
      <c r="W2" s="24"/>
      <c r="X2" s="24"/>
    </row>
    <row r="3" spans="1:24" ht="15.6" thickBot="1" x14ac:dyDescent="0.35">
      <c r="A3" s="2" t="s">
        <v>1</v>
      </c>
      <c r="B3" s="9" t="s">
        <v>18</v>
      </c>
      <c r="C3" s="11" t="s">
        <v>40</v>
      </c>
      <c r="I3" s="14">
        <v>0</v>
      </c>
      <c r="S3" s="14">
        <v>0</v>
      </c>
      <c r="T3" s="14">
        <v>0</v>
      </c>
      <c r="U3" t="s">
        <v>55</v>
      </c>
      <c r="V3" t="s">
        <v>55</v>
      </c>
      <c r="W3" t="s">
        <v>55</v>
      </c>
      <c r="X3" t="s">
        <v>55</v>
      </c>
    </row>
    <row r="4" spans="1:24" ht="15.6" thickBot="1" x14ac:dyDescent="0.35">
      <c r="A4" s="2" t="s">
        <v>2</v>
      </c>
      <c r="B4" s="9" t="s">
        <v>19</v>
      </c>
      <c r="C4" s="11" t="s">
        <v>41</v>
      </c>
      <c r="G4" s="25" t="s">
        <v>37</v>
      </c>
      <c r="H4" s="25"/>
      <c r="I4" s="18" t="s">
        <v>35</v>
      </c>
      <c r="J4" s="25" t="s">
        <v>38</v>
      </c>
      <c r="K4" s="25"/>
      <c r="L4" s="25"/>
      <c r="M4" s="25"/>
      <c r="N4" s="25"/>
      <c r="O4" s="25"/>
      <c r="P4" s="17" t="s">
        <v>32</v>
      </c>
      <c r="Q4" s="17"/>
      <c r="R4" s="17"/>
      <c r="S4" s="25" t="s">
        <v>35</v>
      </c>
      <c r="T4" s="25"/>
      <c r="U4" s="25"/>
      <c r="V4" s="25"/>
      <c r="W4" s="25"/>
      <c r="X4" s="25"/>
    </row>
    <row r="5" spans="1:24" ht="15.6" thickBot="1" x14ac:dyDescent="0.35">
      <c r="A5" s="2" t="s">
        <v>3</v>
      </c>
      <c r="B5" s="9" t="s">
        <v>20</v>
      </c>
      <c r="C5" s="11" t="s">
        <v>42</v>
      </c>
      <c r="E5" s="18"/>
      <c r="G5" s="18"/>
      <c r="H5" s="18"/>
      <c r="I5" s="19">
        <v>0</v>
      </c>
      <c r="J5" s="18"/>
      <c r="K5" s="18"/>
      <c r="L5" s="18"/>
      <c r="M5" s="18"/>
      <c r="N5" s="18"/>
      <c r="O5" s="18"/>
      <c r="P5" s="18"/>
      <c r="Q5" s="18"/>
      <c r="R5" s="18"/>
      <c r="S5" s="19">
        <v>0</v>
      </c>
      <c r="T5" s="19">
        <v>0</v>
      </c>
      <c r="U5" s="18" t="s">
        <v>55</v>
      </c>
      <c r="V5" s="18" t="s">
        <v>55</v>
      </c>
      <c r="W5" s="18" t="s">
        <v>55</v>
      </c>
      <c r="X5" s="18" t="s">
        <v>55</v>
      </c>
    </row>
    <row r="6" spans="1:24" ht="15.6" thickBot="1" x14ac:dyDescent="0.35">
      <c r="A6" s="2" t="s">
        <v>4</v>
      </c>
      <c r="B6" s="9" t="s">
        <v>21</v>
      </c>
      <c r="C6" s="11" t="s">
        <v>43</v>
      </c>
      <c r="I6" s="13"/>
    </row>
    <row r="7" spans="1:24" ht="15.6" thickBot="1" x14ac:dyDescent="0.35">
      <c r="A7" s="2" t="s">
        <v>5</v>
      </c>
      <c r="B7" s="9" t="s">
        <v>22</v>
      </c>
      <c r="C7" s="11" t="s">
        <v>44</v>
      </c>
      <c r="G7" s="22" t="s">
        <v>37</v>
      </c>
      <c r="H7" s="22"/>
      <c r="I7" s="13" t="s">
        <v>35</v>
      </c>
      <c r="J7" s="21" t="s">
        <v>34</v>
      </c>
      <c r="K7" s="21"/>
      <c r="L7" s="21"/>
      <c r="M7" s="20" t="s">
        <v>33</v>
      </c>
      <c r="N7" s="20"/>
      <c r="O7" s="20"/>
      <c r="P7" s="5" t="s">
        <v>32</v>
      </c>
      <c r="Q7" s="5"/>
      <c r="R7" s="5"/>
      <c r="S7" s="24" t="s">
        <v>35</v>
      </c>
      <c r="T7" s="24"/>
      <c r="U7" s="24"/>
      <c r="V7" s="24"/>
      <c r="W7" s="24"/>
      <c r="X7" s="24"/>
    </row>
    <row r="8" spans="1:24" ht="15.6" thickBot="1" x14ac:dyDescent="0.35">
      <c r="A8" s="2" t="s">
        <v>6</v>
      </c>
      <c r="B8" s="9" t="s">
        <v>23</v>
      </c>
      <c r="C8" s="11" t="s">
        <v>45</v>
      </c>
      <c r="I8" s="16" t="s">
        <v>38</v>
      </c>
      <c r="P8" s="26" t="s">
        <v>38</v>
      </c>
      <c r="Q8" s="26"/>
      <c r="R8" s="26"/>
      <c r="S8" s="26"/>
      <c r="T8" s="26"/>
      <c r="U8" t="s">
        <v>55</v>
      </c>
      <c r="V8" t="s">
        <v>55</v>
      </c>
      <c r="W8" t="s">
        <v>55</v>
      </c>
      <c r="X8" t="s">
        <v>55</v>
      </c>
    </row>
    <row r="9" spans="1:24" ht="15.6" thickBot="1" x14ac:dyDescent="0.35">
      <c r="A9" s="2" t="s">
        <v>7</v>
      </c>
      <c r="B9" s="9" t="s">
        <v>24</v>
      </c>
      <c r="C9" s="11" t="s">
        <v>46</v>
      </c>
      <c r="I9" s="13"/>
    </row>
    <row r="10" spans="1:24" ht="15.6" thickBot="1" x14ac:dyDescent="0.35">
      <c r="A10" s="2" t="s">
        <v>8</v>
      </c>
      <c r="B10" s="9" t="s">
        <v>25</v>
      </c>
      <c r="C10" s="11" t="s">
        <v>47</v>
      </c>
    </row>
    <row r="11" spans="1:24" ht="15.6" thickBot="1" x14ac:dyDescent="0.35">
      <c r="A11" s="2" t="s">
        <v>9</v>
      </c>
      <c r="B11" s="9" t="s">
        <v>26</v>
      </c>
      <c r="C11" s="11" t="s">
        <v>48</v>
      </c>
      <c r="I11" s="22" t="s">
        <v>35</v>
      </c>
      <c r="J11" s="22"/>
      <c r="K11" s="22"/>
      <c r="L11" s="22"/>
      <c r="M11" s="20" t="s">
        <v>33</v>
      </c>
      <c r="N11" s="20"/>
      <c r="O11" s="20"/>
      <c r="P11" s="7" t="s">
        <v>34</v>
      </c>
      <c r="Q11" s="7"/>
      <c r="R11" s="7"/>
      <c r="S11" s="23" t="s">
        <v>32</v>
      </c>
      <c r="T11" s="23"/>
      <c r="U11" s="23"/>
      <c r="V11" s="22" t="s">
        <v>35</v>
      </c>
      <c r="W11" s="22"/>
      <c r="X11" s="22"/>
    </row>
    <row r="12" spans="1:24" ht="15.6" thickBot="1" x14ac:dyDescent="0.35">
      <c r="A12" s="2" t="s">
        <v>10</v>
      </c>
      <c r="B12" s="9" t="s">
        <v>27</v>
      </c>
      <c r="C12" s="11" t="s">
        <v>49</v>
      </c>
    </row>
    <row r="13" spans="1:24" ht="15.6" thickBot="1" x14ac:dyDescent="0.35">
      <c r="A13" s="2" t="s">
        <v>11</v>
      </c>
      <c r="B13" s="9" t="s">
        <v>28</v>
      </c>
      <c r="C13" s="11" t="s">
        <v>50</v>
      </c>
      <c r="I13" s="22" t="s">
        <v>35</v>
      </c>
      <c r="J13" s="22"/>
      <c r="K13" s="22"/>
      <c r="L13" s="22"/>
      <c r="M13" s="20" t="s">
        <v>33</v>
      </c>
      <c r="N13" s="20"/>
      <c r="O13" s="20"/>
      <c r="P13" s="7" t="s">
        <v>34</v>
      </c>
      <c r="Q13" s="7"/>
      <c r="R13" s="7"/>
      <c r="S13" s="20" t="s">
        <v>38</v>
      </c>
      <c r="T13" s="20"/>
      <c r="U13" s="20"/>
      <c r="V13" s="20"/>
      <c r="W13" s="20"/>
      <c r="X13" s="20"/>
    </row>
    <row r="14" spans="1:24" ht="15.6" thickBot="1" x14ac:dyDescent="0.35">
      <c r="A14" s="2" t="s">
        <v>12</v>
      </c>
      <c r="B14" s="9" t="s">
        <v>29</v>
      </c>
      <c r="C14" s="11" t="s">
        <v>51</v>
      </c>
    </row>
    <row r="15" spans="1:24" ht="15.6" thickBot="1" x14ac:dyDescent="0.35">
      <c r="A15" s="2" t="s">
        <v>13</v>
      </c>
      <c r="B15" s="9" t="s">
        <v>30</v>
      </c>
      <c r="C15" s="11" t="s">
        <v>52</v>
      </c>
    </row>
    <row r="16" spans="1:24" ht="15.6" thickBot="1" x14ac:dyDescent="0.35">
      <c r="A16" s="2" t="s">
        <v>14</v>
      </c>
      <c r="B16" s="9" t="s">
        <v>14</v>
      </c>
      <c r="C16" s="11" t="s">
        <v>53</v>
      </c>
    </row>
    <row r="17" spans="1:33" ht="15.6" thickBot="1" x14ac:dyDescent="0.35">
      <c r="A17" s="2" t="s">
        <v>15</v>
      </c>
      <c r="B17" s="9" t="s">
        <v>15</v>
      </c>
      <c r="C17" s="11" t="s">
        <v>54</v>
      </c>
    </row>
    <row r="22" spans="1:33" ht="15.6" thickBot="1" x14ac:dyDescent="0.35">
      <c r="D22" s="30" t="s">
        <v>77</v>
      </c>
      <c r="F22" s="30" t="s">
        <v>60</v>
      </c>
      <c r="G22" s="30" t="s">
        <v>61</v>
      </c>
      <c r="H22" s="30" t="s">
        <v>63</v>
      </c>
      <c r="I22" s="30" t="s">
        <v>64</v>
      </c>
      <c r="J22" s="30" t="s">
        <v>66</v>
      </c>
      <c r="K22" s="30" t="s">
        <v>67</v>
      </c>
      <c r="L22" s="30" t="s">
        <v>65</v>
      </c>
      <c r="M22" s="30" t="s">
        <v>78</v>
      </c>
      <c r="N22" s="30" t="s">
        <v>79</v>
      </c>
      <c r="O22" s="30" t="s">
        <v>80</v>
      </c>
    </row>
    <row r="23" spans="1:33" ht="15.6" thickBot="1" x14ac:dyDescent="0.35">
      <c r="D23" s="27" t="s">
        <v>59</v>
      </c>
      <c r="E23" s="27" t="s">
        <v>81</v>
      </c>
      <c r="F23" s="27" t="s">
        <v>60</v>
      </c>
      <c r="G23" s="32" t="s">
        <v>61</v>
      </c>
      <c r="H23" s="31" t="s">
        <v>62</v>
      </c>
      <c r="I23" s="27" t="s">
        <v>110</v>
      </c>
      <c r="J23" s="27" t="s">
        <v>109</v>
      </c>
      <c r="K23" s="27" t="s">
        <v>108</v>
      </c>
      <c r="L23" s="27" t="s">
        <v>63</v>
      </c>
      <c r="M23" s="27" t="s">
        <v>64</v>
      </c>
      <c r="N23" s="27" t="s">
        <v>65</v>
      </c>
      <c r="O23" s="27" t="s">
        <v>66</v>
      </c>
      <c r="P23" s="27" t="s">
        <v>67</v>
      </c>
      <c r="Q23" s="27" t="s">
        <v>82</v>
      </c>
      <c r="R23" s="27" t="s">
        <v>83</v>
      </c>
      <c r="S23" s="27" t="s">
        <v>68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</row>
    <row r="24" spans="1:33" ht="15.6" thickBot="1" x14ac:dyDescent="0.35">
      <c r="A24" s="1" t="s">
        <v>0</v>
      </c>
      <c r="B24" s="9" t="s">
        <v>31</v>
      </c>
      <c r="C24" s="11" t="s">
        <v>39</v>
      </c>
      <c r="D24" s="27" t="s">
        <v>0</v>
      </c>
      <c r="E24" s="28">
        <v>0</v>
      </c>
      <c r="F24" s="28">
        <v>1</v>
      </c>
      <c r="G24" s="32" t="s">
        <v>57</v>
      </c>
      <c r="H24" s="31" t="s">
        <v>112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7" t="s">
        <v>58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 spans="1:33" ht="15.6" thickBot="1" x14ac:dyDescent="0.35">
      <c r="A25" s="2" t="s">
        <v>1</v>
      </c>
      <c r="B25" s="9" t="s">
        <v>18</v>
      </c>
      <c r="C25" s="11" t="s">
        <v>40</v>
      </c>
      <c r="D25" s="27" t="s">
        <v>1</v>
      </c>
      <c r="E25" s="37">
        <v>1</v>
      </c>
      <c r="F25" s="28">
        <v>1</v>
      </c>
      <c r="G25" s="32" t="s">
        <v>69</v>
      </c>
      <c r="H25" s="31" t="s">
        <v>70</v>
      </c>
      <c r="I25" s="28">
        <v>0</v>
      </c>
      <c r="J25" s="28">
        <v>0</v>
      </c>
      <c r="K25" s="28">
        <v>1</v>
      </c>
      <c r="L25" s="28">
        <v>0</v>
      </c>
      <c r="M25" s="28">
        <v>0</v>
      </c>
      <c r="N25" s="27" t="s">
        <v>58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1:33" ht="15.6" thickBot="1" x14ac:dyDescent="0.35">
      <c r="A26" s="2" t="s">
        <v>2</v>
      </c>
      <c r="B26" s="9" t="s">
        <v>19</v>
      </c>
      <c r="C26" s="11" t="s">
        <v>41</v>
      </c>
      <c r="D26" s="27" t="s">
        <v>2</v>
      </c>
      <c r="E26" s="37">
        <v>1</v>
      </c>
      <c r="F26" s="28">
        <v>1</v>
      </c>
      <c r="G26" s="32" t="s">
        <v>69</v>
      </c>
      <c r="H26" s="31" t="s">
        <v>71</v>
      </c>
      <c r="I26" s="28">
        <v>0</v>
      </c>
      <c r="J26" s="28">
        <v>1</v>
      </c>
      <c r="K26" s="28">
        <v>1</v>
      </c>
      <c r="L26" s="28">
        <v>0</v>
      </c>
      <c r="M26" s="28">
        <v>0</v>
      </c>
      <c r="N26" s="27" t="s">
        <v>58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1:33" ht="15.6" thickBot="1" x14ac:dyDescent="0.35">
      <c r="A27" s="2" t="s">
        <v>3</v>
      </c>
      <c r="B27" s="9" t="s">
        <v>20</v>
      </c>
      <c r="C27" s="11" t="s">
        <v>42</v>
      </c>
      <c r="D27" s="27" t="s">
        <v>3</v>
      </c>
      <c r="E27" s="37">
        <v>1</v>
      </c>
      <c r="F27" s="28">
        <v>1</v>
      </c>
      <c r="G27" s="32" t="s">
        <v>69</v>
      </c>
      <c r="H27" s="31" t="s">
        <v>72</v>
      </c>
      <c r="I27" s="28">
        <v>1</v>
      </c>
      <c r="J27" s="28">
        <v>0</v>
      </c>
      <c r="K27" s="28">
        <v>0</v>
      </c>
      <c r="L27" s="28">
        <v>0</v>
      </c>
      <c r="M27" s="28">
        <v>0</v>
      </c>
      <c r="N27" s="27" t="s">
        <v>58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 spans="1:33" ht="15.6" thickBot="1" x14ac:dyDescent="0.35">
      <c r="A28" s="2" t="s">
        <v>4</v>
      </c>
      <c r="B28" s="9" t="s">
        <v>21</v>
      </c>
      <c r="C28" s="11" t="s">
        <v>43</v>
      </c>
      <c r="D28" s="27" t="s">
        <v>73</v>
      </c>
      <c r="E28" s="28">
        <v>0</v>
      </c>
      <c r="F28" s="28">
        <v>1</v>
      </c>
      <c r="G28" s="32">
        <v>1</v>
      </c>
      <c r="H28" s="31" t="s">
        <v>70</v>
      </c>
      <c r="I28" s="28">
        <v>0</v>
      </c>
      <c r="J28" s="28">
        <v>0</v>
      </c>
      <c r="K28" s="28">
        <v>1</v>
      </c>
      <c r="L28" s="28">
        <v>1</v>
      </c>
      <c r="M28" s="28">
        <v>0</v>
      </c>
      <c r="N28" s="27" t="s">
        <v>74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  <row r="29" spans="1:33" ht="15.6" thickBot="1" x14ac:dyDescent="0.35">
      <c r="A29" s="2" t="s">
        <v>5</v>
      </c>
      <c r="B29" s="9" t="s">
        <v>22</v>
      </c>
      <c r="C29" s="11" t="s">
        <v>44</v>
      </c>
      <c r="D29" s="27" t="s">
        <v>76</v>
      </c>
      <c r="E29" s="28">
        <v>0</v>
      </c>
      <c r="F29" s="28">
        <v>0</v>
      </c>
      <c r="G29" s="32">
        <v>1</v>
      </c>
      <c r="H29" s="31" t="s">
        <v>111</v>
      </c>
      <c r="I29" s="28">
        <v>1</v>
      </c>
      <c r="J29" s="28">
        <v>1</v>
      </c>
      <c r="K29" s="28">
        <v>1</v>
      </c>
      <c r="L29" s="28">
        <v>0</v>
      </c>
      <c r="M29" s="28">
        <v>1</v>
      </c>
      <c r="N29" s="27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</row>
    <row r="30" spans="1:33" ht="15.6" thickBot="1" x14ac:dyDescent="0.35">
      <c r="A30" s="2" t="s">
        <v>6</v>
      </c>
      <c r="B30" s="9" t="s">
        <v>23</v>
      </c>
      <c r="C30" s="11" t="s">
        <v>45</v>
      </c>
      <c r="D30" s="27" t="s">
        <v>6</v>
      </c>
      <c r="E30" s="28">
        <v>0</v>
      </c>
      <c r="F30" s="28">
        <v>1</v>
      </c>
      <c r="G30" s="32" t="s">
        <v>69</v>
      </c>
      <c r="H30" s="31" t="s">
        <v>70</v>
      </c>
      <c r="I30" s="28">
        <v>0</v>
      </c>
      <c r="J30" s="28">
        <v>0</v>
      </c>
      <c r="K30" s="28">
        <v>1</v>
      </c>
      <c r="L30" s="28">
        <v>0</v>
      </c>
      <c r="M30" s="28">
        <v>0</v>
      </c>
      <c r="N30" s="27" t="s">
        <v>58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</row>
    <row r="31" spans="1:33" ht="15.6" thickBot="1" x14ac:dyDescent="0.35">
      <c r="A31" s="2" t="s">
        <v>7</v>
      </c>
      <c r="B31" s="9" t="s">
        <v>24</v>
      </c>
      <c r="C31" s="11" t="s">
        <v>46</v>
      </c>
      <c r="D31" s="27" t="s">
        <v>7</v>
      </c>
      <c r="E31" s="28">
        <v>0</v>
      </c>
      <c r="F31" s="28">
        <v>1</v>
      </c>
      <c r="G31" s="32" t="s">
        <v>57</v>
      </c>
      <c r="H31" s="31" t="s">
        <v>70</v>
      </c>
      <c r="I31" s="28">
        <v>0</v>
      </c>
      <c r="J31" s="28">
        <v>0</v>
      </c>
      <c r="K31" s="28">
        <v>1</v>
      </c>
      <c r="L31" s="28">
        <v>0</v>
      </c>
      <c r="M31" s="28">
        <v>0</v>
      </c>
      <c r="N31" s="27" t="s">
        <v>58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</row>
    <row r="32" spans="1:33" ht="15.6" thickBot="1" x14ac:dyDescent="0.35">
      <c r="A32" s="2" t="s">
        <v>8</v>
      </c>
      <c r="B32" s="9" t="s">
        <v>25</v>
      </c>
      <c r="C32" s="11" t="s">
        <v>47</v>
      </c>
      <c r="D32" s="27" t="s">
        <v>8</v>
      </c>
      <c r="E32" s="28">
        <v>0</v>
      </c>
      <c r="F32" s="28">
        <v>1</v>
      </c>
      <c r="G32" s="32" t="s">
        <v>57</v>
      </c>
      <c r="H32" s="31" t="s">
        <v>71</v>
      </c>
      <c r="I32" s="28">
        <v>0</v>
      </c>
      <c r="J32" s="28">
        <v>1</v>
      </c>
      <c r="K32" s="28">
        <v>1</v>
      </c>
      <c r="L32" s="28">
        <v>0</v>
      </c>
      <c r="M32" s="28">
        <v>0</v>
      </c>
      <c r="N32" s="27" t="s">
        <v>58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</row>
    <row r="33" spans="1:33" ht="15.6" thickBot="1" x14ac:dyDescent="0.35">
      <c r="A33" s="2" t="s">
        <v>9</v>
      </c>
      <c r="B33" s="9" t="s">
        <v>26</v>
      </c>
      <c r="C33" s="11" t="s">
        <v>48</v>
      </c>
      <c r="D33" s="27" t="s">
        <v>9</v>
      </c>
      <c r="E33" s="28">
        <v>0</v>
      </c>
      <c r="F33" s="28">
        <v>1</v>
      </c>
      <c r="G33" s="32" t="s">
        <v>57</v>
      </c>
      <c r="H33" s="31" t="s">
        <v>72</v>
      </c>
      <c r="I33" s="28">
        <v>1</v>
      </c>
      <c r="J33" s="28">
        <v>0</v>
      </c>
      <c r="K33" s="28">
        <v>0</v>
      </c>
      <c r="L33" s="28">
        <v>0</v>
      </c>
      <c r="M33" s="28">
        <v>0</v>
      </c>
      <c r="N33" s="27" t="s">
        <v>58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</row>
    <row r="34" spans="1:33" ht="15.6" thickBot="1" x14ac:dyDescent="0.35">
      <c r="A34" s="2" t="s">
        <v>10</v>
      </c>
      <c r="B34" s="9" t="s">
        <v>27</v>
      </c>
      <c r="C34" s="11" t="s">
        <v>49</v>
      </c>
      <c r="D34" s="27" t="s">
        <v>10</v>
      </c>
      <c r="E34" s="28">
        <v>0</v>
      </c>
      <c r="F34" s="28">
        <v>0</v>
      </c>
      <c r="G34" s="32" t="s">
        <v>69</v>
      </c>
      <c r="H34" s="31" t="s">
        <v>10</v>
      </c>
      <c r="I34" s="29">
        <v>1</v>
      </c>
      <c r="J34" s="29">
        <v>0</v>
      </c>
      <c r="K34" s="29">
        <v>1</v>
      </c>
      <c r="L34" s="28">
        <v>0</v>
      </c>
      <c r="M34" s="28">
        <v>0</v>
      </c>
      <c r="N34" s="27" t="s">
        <v>75</v>
      </c>
      <c r="O34" s="28">
        <v>1</v>
      </c>
      <c r="P34" s="28">
        <v>0</v>
      </c>
      <c r="Q34" s="28">
        <v>0</v>
      </c>
      <c r="R34" s="28">
        <v>0</v>
      </c>
      <c r="S34" s="28">
        <v>0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</row>
    <row r="35" spans="1:33" ht="15.6" thickBot="1" x14ac:dyDescent="0.35">
      <c r="A35" s="2" t="s">
        <v>11</v>
      </c>
      <c r="B35" s="9" t="s">
        <v>28</v>
      </c>
      <c r="C35" s="11" t="s">
        <v>50</v>
      </c>
      <c r="D35" s="27" t="s">
        <v>11</v>
      </c>
      <c r="E35" s="28">
        <v>0</v>
      </c>
      <c r="F35" s="28">
        <v>0</v>
      </c>
      <c r="G35" s="32" t="s">
        <v>69</v>
      </c>
      <c r="H35" s="31" t="s">
        <v>11</v>
      </c>
      <c r="I35" s="29">
        <v>1</v>
      </c>
      <c r="J35" s="29">
        <v>1</v>
      </c>
      <c r="K35" s="29">
        <v>0</v>
      </c>
      <c r="L35" s="28">
        <v>0</v>
      </c>
      <c r="M35" s="28">
        <v>0</v>
      </c>
      <c r="N35" s="27" t="s">
        <v>75</v>
      </c>
      <c r="O35" s="28">
        <v>1</v>
      </c>
      <c r="P35" s="28">
        <v>0</v>
      </c>
      <c r="Q35" s="28">
        <v>0</v>
      </c>
      <c r="R35" s="28">
        <v>0</v>
      </c>
      <c r="S35" s="28">
        <v>0</v>
      </c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</row>
    <row r="36" spans="1:33" ht="15.6" thickBot="1" x14ac:dyDescent="0.35">
      <c r="A36" s="2" t="s">
        <v>12</v>
      </c>
      <c r="B36" s="9" t="s">
        <v>29</v>
      </c>
      <c r="C36" s="11" t="s">
        <v>51</v>
      </c>
      <c r="D36" s="27" t="s">
        <v>12</v>
      </c>
      <c r="E36" s="28">
        <v>0</v>
      </c>
      <c r="F36" s="28">
        <v>0</v>
      </c>
      <c r="G36" s="32" t="s">
        <v>75</v>
      </c>
      <c r="H36" s="31" t="s">
        <v>75</v>
      </c>
      <c r="I36" s="27" t="s">
        <v>75</v>
      </c>
      <c r="J36" s="27" t="s">
        <v>75</v>
      </c>
      <c r="K36" s="27" t="s">
        <v>75</v>
      </c>
      <c r="L36" s="28">
        <v>0</v>
      </c>
      <c r="M36" s="28">
        <v>0</v>
      </c>
      <c r="N36" s="27" t="s">
        <v>55</v>
      </c>
      <c r="O36" s="28">
        <v>0</v>
      </c>
      <c r="P36" s="28">
        <v>1</v>
      </c>
      <c r="Q36" s="28">
        <v>0</v>
      </c>
      <c r="R36" s="28">
        <v>0</v>
      </c>
      <c r="S36" s="28">
        <v>0</v>
      </c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</row>
    <row r="37" spans="1:33" ht="15.6" thickBot="1" x14ac:dyDescent="0.35">
      <c r="A37" s="2" t="s">
        <v>13</v>
      </c>
      <c r="B37" s="9" t="s">
        <v>30</v>
      </c>
      <c r="C37" s="11" t="s">
        <v>52</v>
      </c>
      <c r="D37" s="27" t="s">
        <v>13</v>
      </c>
      <c r="E37" s="28">
        <v>1</v>
      </c>
      <c r="F37" s="27">
        <v>1</v>
      </c>
      <c r="G37" s="32" t="s">
        <v>75</v>
      </c>
      <c r="H37" s="31" t="s">
        <v>75</v>
      </c>
      <c r="I37" s="27" t="s">
        <v>75</v>
      </c>
      <c r="J37" s="27" t="s">
        <v>75</v>
      </c>
      <c r="K37" s="27" t="s">
        <v>75</v>
      </c>
      <c r="L37" s="28">
        <v>0</v>
      </c>
      <c r="M37" s="28">
        <v>0</v>
      </c>
      <c r="N37" s="27">
        <v>1</v>
      </c>
      <c r="O37" s="28">
        <v>0</v>
      </c>
      <c r="P37" s="28">
        <v>1</v>
      </c>
      <c r="Q37" s="28">
        <v>1</v>
      </c>
      <c r="R37" s="28">
        <v>0</v>
      </c>
      <c r="S37" s="28">
        <v>0</v>
      </c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</row>
    <row r="38" spans="1:33" ht="15.6" thickBot="1" x14ac:dyDescent="0.35">
      <c r="A38" s="2" t="s">
        <v>14</v>
      </c>
      <c r="B38" s="9" t="s">
        <v>14</v>
      </c>
      <c r="C38" s="11" t="s">
        <v>53</v>
      </c>
      <c r="D38" s="27" t="s">
        <v>14</v>
      </c>
      <c r="E38" s="28">
        <v>0</v>
      </c>
      <c r="F38" s="28">
        <v>0</v>
      </c>
      <c r="G38" s="32" t="s">
        <v>75</v>
      </c>
      <c r="H38" s="31" t="s">
        <v>75</v>
      </c>
      <c r="I38" s="27" t="s">
        <v>75</v>
      </c>
      <c r="J38" s="27" t="s">
        <v>75</v>
      </c>
      <c r="K38" s="27" t="s">
        <v>75</v>
      </c>
      <c r="L38" s="28">
        <v>0</v>
      </c>
      <c r="M38" s="28">
        <v>0</v>
      </c>
      <c r="N38" s="27" t="s">
        <v>75</v>
      </c>
      <c r="O38" s="28">
        <v>0</v>
      </c>
      <c r="P38" s="28">
        <v>1</v>
      </c>
      <c r="Q38" s="28">
        <v>0</v>
      </c>
      <c r="R38" s="28">
        <v>1</v>
      </c>
      <c r="S38" s="28">
        <v>0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</row>
    <row r="39" spans="1:33" ht="15.6" thickBot="1" x14ac:dyDescent="0.35">
      <c r="A39" s="2" t="s">
        <v>15</v>
      </c>
      <c r="B39" s="9" t="s">
        <v>15</v>
      </c>
      <c r="C39" s="11" t="s">
        <v>54</v>
      </c>
      <c r="D39" s="27" t="s">
        <v>15</v>
      </c>
      <c r="E39" s="28">
        <v>0</v>
      </c>
      <c r="F39" s="28">
        <v>0</v>
      </c>
      <c r="G39" s="32" t="s">
        <v>75</v>
      </c>
      <c r="H39" s="31" t="s">
        <v>75</v>
      </c>
      <c r="I39" s="27" t="s">
        <v>75</v>
      </c>
      <c r="J39" s="27" t="s">
        <v>75</v>
      </c>
      <c r="K39" s="27" t="s">
        <v>75</v>
      </c>
      <c r="L39" s="28">
        <v>0</v>
      </c>
      <c r="M39" s="28">
        <v>0</v>
      </c>
      <c r="N39" s="27" t="s">
        <v>75</v>
      </c>
      <c r="O39" s="28">
        <v>0</v>
      </c>
      <c r="P39" s="28">
        <v>0</v>
      </c>
      <c r="Q39" s="28">
        <v>0</v>
      </c>
      <c r="R39" s="28">
        <v>0</v>
      </c>
      <c r="S39" s="28">
        <v>1</v>
      </c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</row>
    <row r="41" spans="1:33" x14ac:dyDescent="0.3">
      <c r="C41"/>
    </row>
    <row r="42" spans="1:33" x14ac:dyDescent="0.3">
      <c r="C42"/>
    </row>
    <row r="43" spans="1:33" x14ac:dyDescent="0.3">
      <c r="C43"/>
    </row>
    <row r="44" spans="1:33" x14ac:dyDescent="0.3">
      <c r="C44"/>
    </row>
    <row r="45" spans="1:33" x14ac:dyDescent="0.3">
      <c r="C45"/>
    </row>
    <row r="46" spans="1:33" x14ac:dyDescent="0.3">
      <c r="C46"/>
    </row>
    <row r="47" spans="1:33" x14ac:dyDescent="0.3">
      <c r="C47"/>
    </row>
    <row r="48" spans="1:3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</sheetData>
  <mergeCells count="19">
    <mergeCell ref="G4:H4"/>
    <mergeCell ref="S4:X4"/>
    <mergeCell ref="M2:O2"/>
    <mergeCell ref="J2:L2"/>
    <mergeCell ref="S2:X2"/>
    <mergeCell ref="G2:H2"/>
    <mergeCell ref="J4:O4"/>
    <mergeCell ref="I11:L11"/>
    <mergeCell ref="M11:O11"/>
    <mergeCell ref="S11:U11"/>
    <mergeCell ref="P8:T8"/>
    <mergeCell ref="S13:X13"/>
    <mergeCell ref="M13:O13"/>
    <mergeCell ref="I13:L13"/>
    <mergeCell ref="G7:H7"/>
    <mergeCell ref="S7:X7"/>
    <mergeCell ref="J7:L7"/>
    <mergeCell ref="M7:O7"/>
    <mergeCell ref="V11:X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56E2-9357-4F34-9822-3CAE1B1F6A81}">
  <dimension ref="A1:V26"/>
  <sheetViews>
    <sheetView workbookViewId="0">
      <selection activeCell="J13" sqref="J13"/>
    </sheetView>
  </sheetViews>
  <sheetFormatPr defaultRowHeight="15" x14ac:dyDescent="0.3"/>
  <cols>
    <col min="1" max="1" width="65.75" bestFit="1" customWidth="1"/>
  </cols>
  <sheetData>
    <row r="1" spans="1:22" x14ac:dyDescent="0.3">
      <c r="A1" t="s">
        <v>84</v>
      </c>
    </row>
    <row r="2" spans="1:22" x14ac:dyDescent="0.3">
      <c r="A2" t="s">
        <v>85</v>
      </c>
    </row>
    <row r="3" spans="1:22" x14ac:dyDescent="0.3">
      <c r="A3" t="s">
        <v>91</v>
      </c>
    </row>
    <row r="4" spans="1:22" x14ac:dyDescent="0.3">
      <c r="A4" t="s">
        <v>86</v>
      </c>
    </row>
    <row r="5" spans="1:22" x14ac:dyDescent="0.3">
      <c r="A5" t="s">
        <v>87</v>
      </c>
      <c r="G5" s="13">
        <v>15</v>
      </c>
      <c r="H5">
        <v>14</v>
      </c>
      <c r="I5">
        <v>13</v>
      </c>
      <c r="J5">
        <v>12</v>
      </c>
      <c r="K5">
        <v>11</v>
      </c>
      <c r="L5">
        <v>10</v>
      </c>
      <c r="M5">
        <v>9</v>
      </c>
      <c r="N5">
        <v>8</v>
      </c>
      <c r="Q5">
        <v>5</v>
      </c>
      <c r="R5">
        <v>4</v>
      </c>
      <c r="S5">
        <v>3</v>
      </c>
      <c r="T5">
        <v>2</v>
      </c>
      <c r="U5">
        <v>1</v>
      </c>
      <c r="V5">
        <v>0</v>
      </c>
    </row>
    <row r="6" spans="1:22" x14ac:dyDescent="0.3">
      <c r="A6" t="s">
        <v>88</v>
      </c>
      <c r="E6" s="3" t="s">
        <v>36</v>
      </c>
      <c r="F6" s="3"/>
      <c r="G6" s="13" t="s">
        <v>35</v>
      </c>
      <c r="H6" s="7" t="s">
        <v>34</v>
      </c>
      <c r="I6" s="7"/>
      <c r="J6" s="7"/>
      <c r="K6" s="6" t="s">
        <v>33</v>
      </c>
      <c r="L6" s="6"/>
      <c r="M6" s="6"/>
      <c r="N6" s="5" t="s">
        <v>32</v>
      </c>
      <c r="O6" s="5"/>
      <c r="P6" s="5"/>
      <c r="Q6" s="4" t="s">
        <v>35</v>
      </c>
      <c r="R6" s="4"/>
      <c r="S6" s="4"/>
      <c r="T6" s="4"/>
      <c r="U6" s="4"/>
      <c r="V6" s="4"/>
    </row>
    <row r="7" spans="1:22" x14ac:dyDescent="0.3">
      <c r="A7" t="s">
        <v>89</v>
      </c>
      <c r="E7" s="3" t="s">
        <v>37</v>
      </c>
      <c r="F7" s="3"/>
      <c r="G7" s="16" t="s">
        <v>38</v>
      </c>
      <c r="H7" s="7" t="s">
        <v>34</v>
      </c>
      <c r="I7" s="7"/>
      <c r="J7" s="7"/>
      <c r="K7" s="6" t="s">
        <v>33</v>
      </c>
      <c r="L7" s="6"/>
      <c r="M7" s="6"/>
      <c r="N7" s="15" t="s">
        <v>38</v>
      </c>
      <c r="O7" s="15"/>
      <c r="P7" s="15"/>
      <c r="Q7" s="15"/>
      <c r="R7" s="15"/>
      <c r="S7" t="s">
        <v>55</v>
      </c>
      <c r="T7" t="s">
        <v>55</v>
      </c>
      <c r="U7" t="s">
        <v>55</v>
      </c>
      <c r="V7" t="s">
        <v>55</v>
      </c>
    </row>
    <row r="8" spans="1:22" x14ac:dyDescent="0.3">
      <c r="A8" t="s">
        <v>90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</row>
    <row r="10" spans="1:22" ht="15.6" thickBot="1" x14ac:dyDescent="0.35"/>
    <row r="11" spans="1:22" ht="15.6" thickBot="1" x14ac:dyDescent="0.35">
      <c r="B11" s="1" t="s">
        <v>0</v>
      </c>
      <c r="C11" s="9" t="s">
        <v>31</v>
      </c>
      <c r="D11" s="11" t="s">
        <v>39</v>
      </c>
    </row>
    <row r="12" spans="1:22" ht="29.4" thickBot="1" x14ac:dyDescent="0.35">
      <c r="B12" s="2" t="s">
        <v>1</v>
      </c>
      <c r="C12" s="9" t="s">
        <v>18</v>
      </c>
      <c r="D12" s="11" t="s">
        <v>40</v>
      </c>
    </row>
    <row r="13" spans="1:22" ht="29.4" thickBot="1" x14ac:dyDescent="0.35">
      <c r="B13" s="2" t="s">
        <v>2</v>
      </c>
      <c r="C13" s="9" t="s">
        <v>19</v>
      </c>
      <c r="D13" s="11" t="s">
        <v>41</v>
      </c>
    </row>
    <row r="14" spans="1:22" ht="29.4" thickBot="1" x14ac:dyDescent="0.35">
      <c r="B14" s="2" t="s">
        <v>3</v>
      </c>
      <c r="C14" s="9" t="s">
        <v>20</v>
      </c>
      <c r="D14" s="11" t="s">
        <v>42</v>
      </c>
    </row>
    <row r="15" spans="1:22" ht="29.4" thickBot="1" x14ac:dyDescent="0.35">
      <c r="B15" s="2" t="s">
        <v>4</v>
      </c>
      <c r="C15" s="9" t="s">
        <v>21</v>
      </c>
      <c r="D15" s="11" t="s">
        <v>43</v>
      </c>
    </row>
    <row r="16" spans="1:22" ht="29.4" thickBot="1" x14ac:dyDescent="0.35">
      <c r="B16" s="2" t="s">
        <v>5</v>
      </c>
      <c r="C16" s="9" t="s">
        <v>22</v>
      </c>
      <c r="D16" s="11" t="s">
        <v>44</v>
      </c>
    </row>
    <row r="17" spans="2:4" ht="29.4" thickBot="1" x14ac:dyDescent="0.35">
      <c r="B17" s="2" t="s">
        <v>6</v>
      </c>
      <c r="C17" s="9" t="s">
        <v>23</v>
      </c>
      <c r="D17" s="11" t="s">
        <v>45</v>
      </c>
    </row>
    <row r="18" spans="2:4" ht="29.4" thickBot="1" x14ac:dyDescent="0.35">
      <c r="B18" s="2" t="s">
        <v>7</v>
      </c>
      <c r="C18" s="9" t="s">
        <v>24</v>
      </c>
      <c r="D18" s="11" t="s">
        <v>46</v>
      </c>
    </row>
    <row r="19" spans="2:4" ht="29.4" thickBot="1" x14ac:dyDescent="0.35">
      <c r="B19" s="2" t="s">
        <v>8</v>
      </c>
      <c r="C19" s="9" t="s">
        <v>25</v>
      </c>
      <c r="D19" s="11" t="s">
        <v>47</v>
      </c>
    </row>
    <row r="20" spans="2:4" ht="29.4" thickBot="1" x14ac:dyDescent="0.35">
      <c r="B20" s="2" t="s">
        <v>9</v>
      </c>
      <c r="C20" s="9" t="s">
        <v>26</v>
      </c>
      <c r="D20" s="11" t="s">
        <v>48</v>
      </c>
    </row>
    <row r="21" spans="2:4" ht="29.4" thickBot="1" x14ac:dyDescent="0.35">
      <c r="B21" s="2" t="s">
        <v>10</v>
      </c>
      <c r="C21" s="9" t="s">
        <v>27</v>
      </c>
      <c r="D21" s="11" t="s">
        <v>49</v>
      </c>
    </row>
    <row r="22" spans="2:4" ht="29.4" thickBot="1" x14ac:dyDescent="0.35">
      <c r="B22" s="2" t="s">
        <v>11</v>
      </c>
      <c r="C22" s="9" t="s">
        <v>28</v>
      </c>
      <c r="D22" s="11" t="s">
        <v>50</v>
      </c>
    </row>
    <row r="23" spans="2:4" ht="15.6" thickBot="1" x14ac:dyDescent="0.35">
      <c r="B23" s="2" t="s">
        <v>12</v>
      </c>
      <c r="C23" s="9" t="s">
        <v>29</v>
      </c>
      <c r="D23" s="11" t="s">
        <v>51</v>
      </c>
    </row>
    <row r="24" spans="2:4" ht="15.6" thickBot="1" x14ac:dyDescent="0.35">
      <c r="B24" s="2" t="s">
        <v>13</v>
      </c>
      <c r="C24" s="9" t="s">
        <v>30</v>
      </c>
      <c r="D24" s="11" t="s">
        <v>52</v>
      </c>
    </row>
    <row r="25" spans="2:4" ht="15.6" thickBot="1" x14ac:dyDescent="0.35">
      <c r="B25" s="2" t="s">
        <v>14</v>
      </c>
      <c r="C25" s="9" t="s">
        <v>14</v>
      </c>
      <c r="D25" s="11" t="s">
        <v>53</v>
      </c>
    </row>
    <row r="26" spans="2:4" ht="15.6" thickBot="1" x14ac:dyDescent="0.35">
      <c r="B26" s="2" t="s">
        <v>15</v>
      </c>
      <c r="C26" s="9" t="s">
        <v>15</v>
      </c>
      <c r="D26" s="11" t="s">
        <v>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1681-8678-47A6-8361-F71D6CDF5ED1}">
  <dimension ref="A1:U9"/>
  <sheetViews>
    <sheetView workbookViewId="0">
      <selection activeCell="A16" sqref="A1:XFD1048576"/>
    </sheetView>
  </sheetViews>
  <sheetFormatPr defaultRowHeight="15" x14ac:dyDescent="0.3"/>
  <cols>
    <col min="1" max="1" width="65.75" bestFit="1" customWidth="1"/>
    <col min="11" max="11" width="19.5" bestFit="1" customWidth="1"/>
    <col min="20" max="20" width="18.375" bestFit="1" customWidth="1"/>
  </cols>
  <sheetData>
    <row r="1" spans="1:21" x14ac:dyDescent="0.3">
      <c r="D1" s="13">
        <v>15</v>
      </c>
      <c r="E1">
        <v>14</v>
      </c>
      <c r="F1">
        <v>13</v>
      </c>
      <c r="G1">
        <v>12</v>
      </c>
      <c r="H1">
        <v>11</v>
      </c>
      <c r="I1">
        <v>10</v>
      </c>
      <c r="J1">
        <v>9</v>
      </c>
      <c r="K1">
        <v>8</v>
      </c>
      <c r="L1">
        <v>7</v>
      </c>
      <c r="M1">
        <v>6</v>
      </c>
      <c r="N1">
        <v>5</v>
      </c>
      <c r="O1">
        <v>4</v>
      </c>
      <c r="P1">
        <v>3</v>
      </c>
      <c r="Q1">
        <v>2</v>
      </c>
      <c r="R1">
        <v>1</v>
      </c>
      <c r="S1">
        <v>0</v>
      </c>
    </row>
    <row r="2" spans="1:21" x14ac:dyDescent="0.3">
      <c r="B2" s="3" t="s">
        <v>36</v>
      </c>
      <c r="C2" s="3"/>
      <c r="D2" s="13" t="s">
        <v>35</v>
      </c>
      <c r="E2" s="7" t="s">
        <v>34</v>
      </c>
      <c r="F2" s="7"/>
      <c r="G2" s="7"/>
      <c r="H2" s="6" t="s">
        <v>33</v>
      </c>
      <c r="I2" s="6"/>
      <c r="J2" s="6"/>
      <c r="K2" s="5" t="s">
        <v>32</v>
      </c>
      <c r="L2" s="5"/>
      <c r="M2" s="5"/>
      <c r="N2" s="4" t="s">
        <v>35</v>
      </c>
      <c r="O2" s="4"/>
      <c r="P2" s="4"/>
      <c r="Q2" s="4"/>
      <c r="R2" s="4"/>
      <c r="S2" s="4"/>
    </row>
    <row r="3" spans="1:21" x14ac:dyDescent="0.3">
      <c r="B3" s="3" t="s">
        <v>37</v>
      </c>
      <c r="C3" s="3"/>
      <c r="D3" s="16" t="s">
        <v>38</v>
      </c>
      <c r="E3" s="7" t="s">
        <v>34</v>
      </c>
      <c r="F3" s="7"/>
      <c r="G3" s="7"/>
      <c r="H3" s="6" t="s">
        <v>33</v>
      </c>
      <c r="I3" s="6"/>
      <c r="J3" s="6"/>
      <c r="K3" s="15" t="s">
        <v>38</v>
      </c>
      <c r="L3" s="15"/>
      <c r="M3" s="15"/>
      <c r="N3" s="15"/>
      <c r="O3" s="15"/>
      <c r="P3" t="s">
        <v>55</v>
      </c>
      <c r="Q3" t="s">
        <v>55</v>
      </c>
      <c r="R3" t="s">
        <v>55</v>
      </c>
      <c r="S3" t="s">
        <v>55</v>
      </c>
    </row>
    <row r="4" spans="1:21" x14ac:dyDescent="0.3">
      <c r="A4" t="s">
        <v>91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 t="str">
        <f t="shared" ref="T4:T9" si="0">D4&amp;E4&amp;F4&amp;G4&amp;H4&amp;I4&amp;J4&amp;K4&amp;L4&amp;M4&amp;N4&amp;O4&amp;P4&amp;Q4&amp;R4&amp;S4</f>
        <v>0001000000010000</v>
      </c>
      <c r="U4">
        <v>1010</v>
      </c>
    </row>
    <row r="5" spans="1:21" x14ac:dyDescent="0.3">
      <c r="A5" t="s">
        <v>86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 t="str">
        <f t="shared" si="0"/>
        <v>0010000000100000</v>
      </c>
      <c r="U5">
        <v>2020</v>
      </c>
    </row>
    <row r="6" spans="1:21" x14ac:dyDescent="0.3">
      <c r="A6" t="s">
        <v>87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 t="str">
        <f t="shared" si="0"/>
        <v>0011000010100000</v>
      </c>
      <c r="U6" t="s">
        <v>92</v>
      </c>
    </row>
    <row r="7" spans="1:21" x14ac:dyDescent="0.3">
      <c r="A7" t="s">
        <v>88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 t="str">
        <f t="shared" si="0"/>
        <v>0010001010000001</v>
      </c>
    </row>
    <row r="8" spans="1:21" x14ac:dyDescent="0.3">
      <c r="A8" t="s">
        <v>89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 t="str">
        <f>D8&amp;E8&amp;F8&amp;G8&amp;H8&amp;I8&amp;J8&amp;K8&amp;L8&amp;M8&amp;N8&amp;O8&amp;P8&amp;Q8&amp;R8&amp;S8</f>
        <v>1011010111111010</v>
      </c>
      <c r="U8" t="s">
        <v>93</v>
      </c>
    </row>
    <row r="9" spans="1:21" x14ac:dyDescent="0.3">
      <c r="A9" t="s">
        <v>90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 t="str">
        <f t="shared" si="0"/>
        <v>0000000000001111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A1B0-3FE7-4B1A-A949-626024B04449}">
  <dimension ref="A1:X15"/>
  <sheetViews>
    <sheetView workbookViewId="0">
      <selection activeCell="G11" sqref="G11"/>
    </sheetView>
  </sheetViews>
  <sheetFormatPr defaultRowHeight="15" x14ac:dyDescent="0.3"/>
  <cols>
    <col min="1" max="1" width="65.75" bestFit="1" customWidth="1"/>
    <col min="11" max="11" width="19.5" bestFit="1" customWidth="1"/>
    <col min="20" max="20" width="18.375" bestFit="1" customWidth="1"/>
  </cols>
  <sheetData>
    <row r="1" spans="1:24" x14ac:dyDescent="0.3">
      <c r="D1" s="13">
        <v>15</v>
      </c>
      <c r="E1">
        <v>14</v>
      </c>
      <c r="F1">
        <v>13</v>
      </c>
      <c r="G1">
        <v>12</v>
      </c>
      <c r="H1">
        <v>11</v>
      </c>
      <c r="I1">
        <v>10</v>
      </c>
      <c r="J1">
        <v>9</v>
      </c>
      <c r="K1">
        <v>8</v>
      </c>
      <c r="L1">
        <v>7</v>
      </c>
      <c r="M1">
        <v>6</v>
      </c>
      <c r="N1">
        <v>5</v>
      </c>
      <c r="O1">
        <v>4</v>
      </c>
      <c r="P1">
        <v>3</v>
      </c>
      <c r="Q1">
        <v>2</v>
      </c>
      <c r="R1">
        <v>1</v>
      </c>
      <c r="S1">
        <v>0</v>
      </c>
    </row>
    <row r="2" spans="1:24" x14ac:dyDescent="0.3">
      <c r="B2" s="3" t="s">
        <v>36</v>
      </c>
      <c r="C2" s="3"/>
      <c r="D2" s="13" t="s">
        <v>35</v>
      </c>
      <c r="E2" s="7" t="s">
        <v>34</v>
      </c>
      <c r="F2" s="7"/>
      <c r="G2" s="7"/>
      <c r="H2" s="6" t="s">
        <v>33</v>
      </c>
      <c r="I2" s="6"/>
      <c r="J2" s="6"/>
      <c r="K2" s="5" t="s">
        <v>32</v>
      </c>
      <c r="L2" s="5"/>
      <c r="M2" s="5"/>
      <c r="N2" s="4" t="s">
        <v>35</v>
      </c>
      <c r="O2" s="4"/>
      <c r="P2" s="4"/>
      <c r="Q2" s="4"/>
      <c r="R2" s="4"/>
      <c r="S2" s="4"/>
    </row>
    <row r="3" spans="1:24" x14ac:dyDescent="0.3">
      <c r="B3" s="3" t="s">
        <v>37</v>
      </c>
      <c r="C3" s="3"/>
      <c r="D3" s="16" t="s">
        <v>38</v>
      </c>
      <c r="E3" s="7" t="s">
        <v>34</v>
      </c>
      <c r="F3" s="7"/>
      <c r="G3" s="7"/>
      <c r="H3" s="6" t="s">
        <v>33</v>
      </c>
      <c r="I3" s="6"/>
      <c r="J3" s="6"/>
      <c r="K3" s="15" t="s">
        <v>38</v>
      </c>
      <c r="L3" s="15"/>
      <c r="M3" s="15"/>
      <c r="N3" s="15"/>
      <c r="O3" s="15"/>
      <c r="P3" t="s">
        <v>55</v>
      </c>
      <c r="Q3" t="s">
        <v>55</v>
      </c>
      <c r="R3" t="s">
        <v>55</v>
      </c>
      <c r="S3" t="s">
        <v>55</v>
      </c>
    </row>
    <row r="4" spans="1:24" x14ac:dyDescent="0.3">
      <c r="A4" t="s">
        <v>91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 t="str">
        <f t="shared" ref="T4:T14" si="0">D4&amp;E4&amp;F4&amp;G4&amp;H4&amp;I4&amp;J4&amp;K4&amp;L4&amp;M4&amp;N4&amp;O4&amp;P4&amp;Q4&amp;R4&amp;S4</f>
        <v>0001000000010000</v>
      </c>
      <c r="U4">
        <v>1010</v>
      </c>
      <c r="V4" t="str">
        <f>BIN2HEX(LEFT(T4,8),2)</f>
        <v>10</v>
      </c>
      <c r="W4" t="str">
        <f>BIN2HEX(RIGHT(T4,8),2)</f>
        <v>10</v>
      </c>
      <c r="X4" t="str">
        <f>V4&amp;W4</f>
        <v>1010</v>
      </c>
    </row>
    <row r="5" spans="1:24" x14ac:dyDescent="0.3">
      <c r="A5" t="s">
        <v>86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 t="str">
        <f t="shared" si="0"/>
        <v>0010000000100000</v>
      </c>
      <c r="U5">
        <v>2020</v>
      </c>
      <c r="V5" t="str">
        <f t="shared" ref="V5:V15" si="1">BIN2HEX(LEFT(T5,8),2)</f>
        <v>20</v>
      </c>
      <c r="W5" t="str">
        <f t="shared" ref="W5:W15" si="2">BIN2HEX(RIGHT(T5,8),2)</f>
        <v>20</v>
      </c>
      <c r="X5" t="str">
        <f t="shared" ref="X5:X15" si="3">V5&amp;W5</f>
        <v>2020</v>
      </c>
    </row>
    <row r="6" spans="1:24" x14ac:dyDescent="0.3">
      <c r="A6" t="s">
        <v>87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 t="str">
        <f t="shared" si="0"/>
        <v>0011000010100000</v>
      </c>
      <c r="U6" t="s">
        <v>92</v>
      </c>
      <c r="V6" t="str">
        <f t="shared" si="1"/>
        <v>30</v>
      </c>
      <c r="W6" t="str">
        <f t="shared" si="2"/>
        <v>A0</v>
      </c>
      <c r="X6" t="str">
        <f t="shared" si="3"/>
        <v>30A0</v>
      </c>
    </row>
    <row r="7" spans="1:24" x14ac:dyDescent="0.3">
      <c r="A7" t="s">
        <v>88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 t="str">
        <f t="shared" si="0"/>
        <v>0010001010000001</v>
      </c>
      <c r="V7" t="str">
        <f t="shared" si="1"/>
        <v>22</v>
      </c>
      <c r="W7" t="str">
        <f t="shared" si="2"/>
        <v>81</v>
      </c>
      <c r="X7" t="str">
        <f t="shared" si="3"/>
        <v>2281</v>
      </c>
    </row>
    <row r="8" spans="1:24" x14ac:dyDescent="0.3">
      <c r="A8" t="s">
        <v>89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 t="str">
        <f>D8&amp;E8&amp;F8&amp;G8&amp;H8&amp;I8&amp;J8&amp;K8&amp;L8&amp;M8&amp;N8&amp;O8&amp;P8&amp;Q8&amp;R8&amp;S8</f>
        <v>1011010111111010</v>
      </c>
      <c r="U8" t="s">
        <v>93</v>
      </c>
      <c r="V8" t="str">
        <f t="shared" si="1"/>
        <v>B5</v>
      </c>
      <c r="W8" t="str">
        <f t="shared" si="2"/>
        <v>FA</v>
      </c>
      <c r="X8" t="str">
        <f t="shared" si="3"/>
        <v>B5FA</v>
      </c>
    </row>
    <row r="9" spans="1:24" x14ac:dyDescent="0.3">
      <c r="A9" t="s">
        <v>90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 t="str">
        <f t="shared" si="0"/>
        <v>0000000000001111</v>
      </c>
      <c r="U9" t="s">
        <v>98</v>
      </c>
      <c r="V9" t="str">
        <f t="shared" si="1"/>
        <v>00</v>
      </c>
      <c r="W9" t="str">
        <f t="shared" si="2"/>
        <v>0F</v>
      </c>
      <c r="X9" t="str">
        <f t="shared" si="3"/>
        <v>000F</v>
      </c>
    </row>
    <row r="10" spans="1:24" x14ac:dyDescent="0.3">
      <c r="V10" t="str">
        <f t="shared" si="1"/>
        <v>00</v>
      </c>
      <c r="W10" t="str">
        <f t="shared" si="2"/>
        <v>00</v>
      </c>
      <c r="X10" t="str">
        <f t="shared" si="3"/>
        <v>0000</v>
      </c>
    </row>
    <row r="11" spans="1:24" ht="16.2" x14ac:dyDescent="0.3">
      <c r="A11" s="33" t="s">
        <v>94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tr">
        <f t="shared" si="0"/>
        <v>0001000001100000</v>
      </c>
      <c r="V11" t="str">
        <f t="shared" si="1"/>
        <v>10</v>
      </c>
      <c r="W11" t="str">
        <f t="shared" si="2"/>
        <v>60</v>
      </c>
      <c r="X11" t="str">
        <f t="shared" si="3"/>
        <v>1060</v>
      </c>
    </row>
    <row r="12" spans="1:24" ht="16.2" x14ac:dyDescent="0.3">
      <c r="A12" s="33" t="s">
        <v>95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 t="str">
        <f t="shared" si="0"/>
        <v>0010000001010000</v>
      </c>
      <c r="V12" t="str">
        <f t="shared" si="1"/>
        <v>20</v>
      </c>
      <c r="W12" t="str">
        <f t="shared" si="2"/>
        <v>50</v>
      </c>
      <c r="X12" t="str">
        <f t="shared" si="3"/>
        <v>2050</v>
      </c>
    </row>
    <row r="13" spans="1:24" ht="16.2" x14ac:dyDescent="0.3">
      <c r="A13" s="33" t="s">
        <v>96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 t="str">
        <f t="shared" si="0"/>
        <v>0011001000111000</v>
      </c>
      <c r="V13" t="str">
        <f t="shared" si="1"/>
        <v>32</v>
      </c>
      <c r="W13" t="str">
        <f t="shared" si="2"/>
        <v>38</v>
      </c>
      <c r="X13" t="str">
        <f t="shared" si="3"/>
        <v>3238</v>
      </c>
    </row>
    <row r="14" spans="1:24" ht="16.2" x14ac:dyDescent="0.3">
      <c r="A14" s="33" t="s">
        <v>97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 t="str">
        <f t="shared" si="0"/>
        <v>0100011010001001</v>
      </c>
      <c r="V14" t="str">
        <f t="shared" si="1"/>
        <v>46</v>
      </c>
      <c r="W14" t="str">
        <f t="shared" si="2"/>
        <v>89</v>
      </c>
      <c r="X14" t="str">
        <f t="shared" si="3"/>
        <v>4689</v>
      </c>
    </row>
    <row r="15" spans="1:24" ht="16.2" x14ac:dyDescent="0.3">
      <c r="A15" s="33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 t="str">
        <f t="shared" ref="T15" si="4">D15&amp;E15&amp;F15&amp;G15&amp;H15&amp;I15&amp;J15&amp;K15&amp;L15&amp;M15&amp;N15&amp;O15&amp;P15&amp;Q15&amp;R15&amp;S15</f>
        <v>0000000000001111</v>
      </c>
      <c r="U15" t="s">
        <v>98</v>
      </c>
      <c r="V15" t="str">
        <f t="shared" si="1"/>
        <v>00</v>
      </c>
      <c r="W15" t="str">
        <f t="shared" si="2"/>
        <v>0F</v>
      </c>
      <c r="X15" t="str">
        <f t="shared" si="3"/>
        <v>000F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3FEF-3B7A-4495-9FDE-05A1CCFB9DB6}">
  <dimension ref="A1:X27"/>
  <sheetViews>
    <sheetView topLeftCell="B15" workbookViewId="0">
      <selection activeCell="T33" sqref="A1:XFD1048576"/>
    </sheetView>
  </sheetViews>
  <sheetFormatPr defaultRowHeight="15" x14ac:dyDescent="0.3"/>
  <cols>
    <col min="1" max="1" width="65.75" bestFit="1" customWidth="1"/>
    <col min="11" max="11" width="19.5" bestFit="1" customWidth="1"/>
    <col min="20" max="20" width="18.375" bestFit="1" customWidth="1"/>
  </cols>
  <sheetData>
    <row r="1" spans="1:24" x14ac:dyDescent="0.3">
      <c r="D1" s="13">
        <v>15</v>
      </c>
      <c r="E1">
        <v>14</v>
      </c>
      <c r="F1">
        <v>13</v>
      </c>
      <c r="G1">
        <v>12</v>
      </c>
      <c r="H1">
        <v>11</v>
      </c>
      <c r="I1">
        <v>10</v>
      </c>
      <c r="J1">
        <v>9</v>
      </c>
      <c r="K1">
        <v>8</v>
      </c>
      <c r="L1">
        <v>7</v>
      </c>
      <c r="M1">
        <v>6</v>
      </c>
      <c r="N1">
        <v>5</v>
      </c>
      <c r="O1">
        <v>4</v>
      </c>
      <c r="P1">
        <v>3</v>
      </c>
      <c r="Q1">
        <v>2</v>
      </c>
      <c r="R1">
        <v>1</v>
      </c>
      <c r="S1">
        <v>0</v>
      </c>
    </row>
    <row r="2" spans="1:24" x14ac:dyDescent="0.3">
      <c r="B2" s="3" t="s">
        <v>36</v>
      </c>
      <c r="C2" s="3"/>
      <c r="D2" s="13" t="s">
        <v>35</v>
      </c>
      <c r="E2" s="7" t="s">
        <v>34</v>
      </c>
      <c r="F2" s="7"/>
      <c r="G2" s="7"/>
      <c r="H2" s="6" t="s">
        <v>33</v>
      </c>
      <c r="I2" s="6"/>
      <c r="J2" s="6"/>
      <c r="K2" s="5" t="s">
        <v>32</v>
      </c>
      <c r="L2" s="5"/>
      <c r="M2" s="5"/>
      <c r="N2" s="4" t="s">
        <v>35</v>
      </c>
      <c r="O2" s="4"/>
      <c r="P2" s="4"/>
      <c r="Q2" s="4"/>
      <c r="R2" s="4"/>
      <c r="S2" s="4"/>
    </row>
    <row r="3" spans="1:24" x14ac:dyDescent="0.3">
      <c r="B3" s="3" t="s">
        <v>37</v>
      </c>
      <c r="C3" s="3"/>
      <c r="D3" s="16" t="s">
        <v>38</v>
      </c>
      <c r="E3" s="7" t="s">
        <v>34</v>
      </c>
      <c r="F3" s="7"/>
      <c r="G3" s="7"/>
      <c r="H3" s="6" t="s">
        <v>33</v>
      </c>
      <c r="I3" s="6"/>
      <c r="J3" s="6"/>
      <c r="K3" s="15" t="s">
        <v>38</v>
      </c>
      <c r="L3" s="15"/>
      <c r="M3" s="15"/>
      <c r="N3" s="15"/>
      <c r="O3" s="15"/>
      <c r="P3" t="s">
        <v>55</v>
      </c>
      <c r="Q3" t="s">
        <v>55</v>
      </c>
      <c r="R3" t="s">
        <v>55</v>
      </c>
      <c r="S3" t="s">
        <v>55</v>
      </c>
    </row>
    <row r="4" spans="1:24" x14ac:dyDescent="0.3">
      <c r="A4" t="s">
        <v>91</v>
      </c>
      <c r="B4" s="3" t="s">
        <v>37</v>
      </c>
      <c r="C4" s="36" t="b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 t="str">
        <f t="shared" ref="T4:T27" si="0">D4&amp;E4&amp;F4&amp;G4&amp;H4&amp;I4&amp;J4&amp;K4&amp;L4&amp;M4&amp;N4&amp;O4&amp;P4&amp;Q4&amp;R4&amp;S4</f>
        <v>0001000000010000</v>
      </c>
      <c r="U4">
        <v>1010</v>
      </c>
      <c r="V4" t="str">
        <f>BIN2HEX(LEFT(T4,8),2)</f>
        <v>10</v>
      </c>
      <c r="W4" t="str">
        <f>BIN2HEX(RIGHT(T4,8),2)</f>
        <v>10</v>
      </c>
      <c r="X4" t="str">
        <f>V4&amp;W4</f>
        <v>1010</v>
      </c>
    </row>
    <row r="5" spans="1:24" x14ac:dyDescent="0.3">
      <c r="A5" t="s">
        <v>86</v>
      </c>
      <c r="B5" s="3" t="s">
        <v>37</v>
      </c>
      <c r="C5" s="36" t="b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 t="str">
        <f t="shared" si="0"/>
        <v>0010000000100000</v>
      </c>
      <c r="U5">
        <v>2020</v>
      </c>
      <c r="V5" t="str">
        <f t="shared" ref="V5:V15" si="1">BIN2HEX(LEFT(T5,8),2)</f>
        <v>20</v>
      </c>
      <c r="W5" t="str">
        <f t="shared" ref="W5:W15" si="2">BIN2HEX(RIGHT(T5,8),2)</f>
        <v>20</v>
      </c>
      <c r="X5" t="str">
        <f t="shared" ref="X5:X15" si="3">V5&amp;W5</f>
        <v>2020</v>
      </c>
    </row>
    <row r="6" spans="1:24" x14ac:dyDescent="0.3">
      <c r="A6" t="s">
        <v>87</v>
      </c>
      <c r="B6" s="3" t="s">
        <v>37</v>
      </c>
      <c r="C6" s="36" t="b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 t="str">
        <f t="shared" si="0"/>
        <v>0011000010100000</v>
      </c>
      <c r="U6" t="s">
        <v>92</v>
      </c>
      <c r="V6" t="str">
        <f t="shared" si="1"/>
        <v>30</v>
      </c>
      <c r="W6" t="str">
        <f t="shared" si="2"/>
        <v>A0</v>
      </c>
      <c r="X6" t="str">
        <f t="shared" si="3"/>
        <v>30A0</v>
      </c>
    </row>
    <row r="7" spans="1:24" ht="16.8" x14ac:dyDescent="0.45">
      <c r="A7" t="s">
        <v>104</v>
      </c>
      <c r="B7" s="3" t="s">
        <v>36</v>
      </c>
      <c r="C7" s="36" t="b">
        <v>1</v>
      </c>
      <c r="D7">
        <v>0</v>
      </c>
      <c r="E7" s="35">
        <v>0</v>
      </c>
      <c r="F7" s="35">
        <v>1</v>
      </c>
      <c r="G7" s="35">
        <v>0</v>
      </c>
      <c r="H7" s="34">
        <v>0</v>
      </c>
      <c r="I7" s="34">
        <v>0</v>
      </c>
      <c r="J7" s="34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 t="str">
        <f t="shared" si="0"/>
        <v>0010001010000001</v>
      </c>
      <c r="V7" t="str">
        <f t="shared" si="1"/>
        <v>22</v>
      </c>
      <c r="W7" t="str">
        <f t="shared" si="2"/>
        <v>81</v>
      </c>
      <c r="X7" t="str">
        <f t="shared" si="3"/>
        <v>2281</v>
      </c>
    </row>
    <row r="8" spans="1:24" ht="16.8" x14ac:dyDescent="0.45">
      <c r="A8" t="s">
        <v>103</v>
      </c>
      <c r="B8" s="3" t="s">
        <v>37</v>
      </c>
      <c r="C8" s="36" t="b">
        <v>1</v>
      </c>
      <c r="D8">
        <v>1</v>
      </c>
      <c r="E8" s="35">
        <v>0</v>
      </c>
      <c r="F8" s="35">
        <v>1</v>
      </c>
      <c r="G8" s="35">
        <v>1</v>
      </c>
      <c r="H8" s="34">
        <v>0</v>
      </c>
      <c r="I8" s="34">
        <v>1</v>
      </c>
      <c r="J8" s="34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 t="str">
        <f>D8&amp;E8&amp;F8&amp;G8&amp;H8&amp;I8&amp;J8&amp;K8&amp;L8&amp;M8&amp;N8&amp;O8&amp;P8&amp;Q8&amp;R8&amp;S8</f>
        <v>1011010111111010</v>
      </c>
      <c r="U8" t="s">
        <v>93</v>
      </c>
      <c r="V8" t="str">
        <f t="shared" si="1"/>
        <v>B5</v>
      </c>
      <c r="W8" t="str">
        <f t="shared" si="2"/>
        <v>FA</v>
      </c>
      <c r="X8" t="str">
        <f t="shared" si="3"/>
        <v>B5FA</v>
      </c>
    </row>
    <row r="9" spans="1:24" x14ac:dyDescent="0.3">
      <c r="A9" t="s">
        <v>90</v>
      </c>
      <c r="C9" s="36" t="b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 t="str">
        <f t="shared" si="0"/>
        <v>0000000000001111</v>
      </c>
      <c r="U9" t="s">
        <v>98</v>
      </c>
      <c r="V9" t="str">
        <f t="shared" si="1"/>
        <v>00</v>
      </c>
      <c r="W9" t="str">
        <f t="shared" si="2"/>
        <v>0F</v>
      </c>
      <c r="X9" t="str">
        <f t="shared" si="3"/>
        <v>000F</v>
      </c>
    </row>
    <row r="10" spans="1:24" x14ac:dyDescent="0.3">
      <c r="V10" t="str">
        <f t="shared" si="1"/>
        <v>00</v>
      </c>
      <c r="W10" t="str">
        <f t="shared" si="2"/>
        <v>00</v>
      </c>
      <c r="X10" t="str">
        <f t="shared" si="3"/>
        <v>0000</v>
      </c>
    </row>
    <row r="11" spans="1:24" ht="16.2" x14ac:dyDescent="0.3">
      <c r="A11" s="33" t="s">
        <v>94</v>
      </c>
      <c r="B11" s="3" t="s">
        <v>37</v>
      </c>
      <c r="C11" s="36" t="b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tr">
        <f t="shared" si="0"/>
        <v>0001000001100000</v>
      </c>
      <c r="V11" t="str">
        <f t="shared" si="1"/>
        <v>10</v>
      </c>
      <c r="W11" t="str">
        <f t="shared" si="2"/>
        <v>60</v>
      </c>
      <c r="X11" t="str">
        <f t="shared" si="3"/>
        <v>1060</v>
      </c>
    </row>
    <row r="12" spans="1:24" ht="16.2" x14ac:dyDescent="0.3">
      <c r="A12" s="33" t="s">
        <v>95</v>
      </c>
      <c r="B12" s="3" t="s">
        <v>37</v>
      </c>
      <c r="C12" s="36" t="b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 t="str">
        <f t="shared" si="0"/>
        <v>0010000001010000</v>
      </c>
      <c r="V12" t="str">
        <f t="shared" si="1"/>
        <v>20</v>
      </c>
      <c r="W12" t="str">
        <f t="shared" si="2"/>
        <v>50</v>
      </c>
      <c r="X12" t="str">
        <f t="shared" si="3"/>
        <v>2050</v>
      </c>
    </row>
    <row r="13" spans="1:24" ht="16.2" x14ac:dyDescent="0.3">
      <c r="A13" s="33" t="s">
        <v>96</v>
      </c>
      <c r="B13" s="3" t="s">
        <v>37</v>
      </c>
      <c r="C13" s="36" t="b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 t="str">
        <f t="shared" si="0"/>
        <v>0011001000111000</v>
      </c>
      <c r="V13" t="str">
        <f t="shared" si="1"/>
        <v>32</v>
      </c>
      <c r="W13" t="str">
        <f t="shared" si="2"/>
        <v>38</v>
      </c>
      <c r="X13" t="str">
        <f t="shared" si="3"/>
        <v>3238</v>
      </c>
    </row>
    <row r="14" spans="1:24" ht="16.2" x14ac:dyDescent="0.3">
      <c r="A14" s="33" t="s">
        <v>97</v>
      </c>
      <c r="B14" s="3" t="s">
        <v>37</v>
      </c>
      <c r="C14" s="36" t="b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 t="str">
        <f t="shared" si="0"/>
        <v>0100011010001001</v>
      </c>
      <c r="V14" t="str">
        <f t="shared" si="1"/>
        <v>46</v>
      </c>
      <c r="W14" t="str">
        <f t="shared" si="2"/>
        <v>89</v>
      </c>
      <c r="X14" t="str">
        <f t="shared" si="3"/>
        <v>4689</v>
      </c>
    </row>
    <row r="15" spans="1:24" ht="16.2" x14ac:dyDescent="0.3">
      <c r="A15" s="33" t="s">
        <v>15</v>
      </c>
      <c r="C15" s="36" t="b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 t="str">
        <f t="shared" si="0"/>
        <v>0000000000001111</v>
      </c>
      <c r="U15" t="s">
        <v>98</v>
      </c>
      <c r="V15" t="str">
        <f t="shared" si="1"/>
        <v>00</v>
      </c>
      <c r="W15" t="str">
        <f t="shared" si="2"/>
        <v>0F</v>
      </c>
      <c r="X15" t="str">
        <f t="shared" si="3"/>
        <v>000F</v>
      </c>
    </row>
    <row r="17" spans="1:24" ht="16.2" x14ac:dyDescent="0.3">
      <c r="A17" s="33" t="s">
        <v>94</v>
      </c>
      <c r="B17" s="3" t="s">
        <v>37</v>
      </c>
      <c r="C17" s="36" t="b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 t="str">
        <f t="shared" si="0"/>
        <v>0001000001100000</v>
      </c>
      <c r="V17" t="str">
        <f t="shared" ref="V16:V27" si="4">BIN2HEX(LEFT(T17,8),2)</f>
        <v>10</v>
      </c>
      <c r="W17" t="str">
        <f t="shared" ref="W16:W27" si="5">BIN2HEX(RIGHT(T17,8),2)</f>
        <v>60</v>
      </c>
      <c r="X17" t="str">
        <f t="shared" ref="X16:X27" si="6">V17&amp;W17</f>
        <v>1060</v>
      </c>
    </row>
    <row r="18" spans="1:24" ht="16.2" x14ac:dyDescent="0.3">
      <c r="A18" s="33" t="s">
        <v>95</v>
      </c>
      <c r="B18" s="3" t="s">
        <v>37</v>
      </c>
      <c r="C18" s="36" t="b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 t="str">
        <f t="shared" si="0"/>
        <v>0010000001010000</v>
      </c>
      <c r="V18" t="str">
        <f t="shared" si="4"/>
        <v>20</v>
      </c>
      <c r="W18" t="str">
        <f t="shared" si="5"/>
        <v>50</v>
      </c>
      <c r="X18" t="str">
        <f t="shared" si="6"/>
        <v>2050</v>
      </c>
    </row>
    <row r="19" spans="1:24" ht="16.2" x14ac:dyDescent="0.3">
      <c r="A19" s="33" t="s">
        <v>99</v>
      </c>
      <c r="B19" s="3" t="s">
        <v>36</v>
      </c>
      <c r="C19" s="36" t="b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 t="str">
        <f t="shared" si="0"/>
        <v>0010001011000010</v>
      </c>
      <c r="V19" t="str">
        <f t="shared" si="4"/>
        <v>22</v>
      </c>
      <c r="W19" t="str">
        <f t="shared" si="5"/>
        <v>C2</v>
      </c>
      <c r="X19" t="str">
        <f t="shared" si="6"/>
        <v>22C2</v>
      </c>
    </row>
    <row r="20" spans="1:24" ht="16.2" x14ac:dyDescent="0.3">
      <c r="A20" s="33" t="s">
        <v>101</v>
      </c>
      <c r="B20" s="3" t="s">
        <v>37</v>
      </c>
      <c r="C20" s="36" t="b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tr">
        <f t="shared" si="0"/>
        <v>0111000000000000</v>
      </c>
      <c r="V20" t="str">
        <f t="shared" si="4"/>
        <v>70</v>
      </c>
      <c r="W20" t="str">
        <f t="shared" si="5"/>
        <v>00</v>
      </c>
      <c r="X20" t="str">
        <f t="shared" si="6"/>
        <v>7000</v>
      </c>
    </row>
    <row r="21" spans="1:24" ht="16.8" x14ac:dyDescent="0.45">
      <c r="A21" s="33" t="s">
        <v>105</v>
      </c>
      <c r="C21" s="36" t="b">
        <v>1</v>
      </c>
      <c r="D21">
        <v>0</v>
      </c>
      <c r="E21" s="34">
        <v>0</v>
      </c>
      <c r="F21" s="34">
        <v>1</v>
      </c>
      <c r="G21" s="34">
        <v>1</v>
      </c>
      <c r="H21" s="35">
        <v>1</v>
      </c>
      <c r="I21" s="35">
        <v>1</v>
      </c>
      <c r="J21" s="35">
        <v>1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>
        <v>0</v>
      </c>
      <c r="Q21">
        <v>1</v>
      </c>
      <c r="R21">
        <v>0</v>
      </c>
      <c r="S21">
        <v>1</v>
      </c>
      <c r="T21" t="str">
        <f t="shared" si="0"/>
        <v>0011111000000101</v>
      </c>
      <c r="V21" t="str">
        <f t="shared" si="4"/>
        <v>3E</v>
      </c>
      <c r="W21" t="str">
        <f t="shared" si="5"/>
        <v>05</v>
      </c>
      <c r="X21" t="str">
        <f t="shared" si="6"/>
        <v>3E05</v>
      </c>
    </row>
    <row r="22" spans="1:24" ht="16.2" x14ac:dyDescent="0.3">
      <c r="A22" s="33" t="s">
        <v>100</v>
      </c>
      <c r="B22" s="3" t="s">
        <v>36</v>
      </c>
      <c r="C22" s="36" t="b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 t="str">
        <f t="shared" si="0"/>
        <v>0010001100000011</v>
      </c>
      <c r="V22" t="str">
        <f t="shared" si="4"/>
        <v>23</v>
      </c>
      <c r="W22" t="str">
        <f t="shared" si="5"/>
        <v>03</v>
      </c>
      <c r="X22" t="str">
        <f t="shared" si="6"/>
        <v>2303</v>
      </c>
    </row>
    <row r="23" spans="1:24" ht="16.2" x14ac:dyDescent="0.3">
      <c r="A23" s="33" t="s">
        <v>102</v>
      </c>
      <c r="B23" s="3" t="s">
        <v>37</v>
      </c>
      <c r="C23" s="36" t="b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 t="str">
        <f t="shared" si="0"/>
        <v>0111000000010000</v>
      </c>
      <c r="V23" t="str">
        <f t="shared" si="4"/>
        <v>70</v>
      </c>
      <c r="W23" t="str">
        <f t="shared" si="5"/>
        <v>10</v>
      </c>
      <c r="X23" t="str">
        <f t="shared" si="6"/>
        <v>7010</v>
      </c>
    </row>
    <row r="24" spans="1:24" ht="16.8" x14ac:dyDescent="0.45">
      <c r="A24" s="33" t="s">
        <v>106</v>
      </c>
      <c r="C24" s="36" t="b">
        <v>1</v>
      </c>
      <c r="D24">
        <v>0</v>
      </c>
      <c r="E24" s="34">
        <v>1</v>
      </c>
      <c r="F24" s="34">
        <v>0</v>
      </c>
      <c r="G24" s="34">
        <v>0</v>
      </c>
      <c r="H24" s="35">
        <v>1</v>
      </c>
      <c r="I24" s="35">
        <v>1</v>
      </c>
      <c r="J24" s="35">
        <v>1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>
        <v>0</v>
      </c>
      <c r="Q24">
        <v>1</v>
      </c>
      <c r="R24">
        <v>0</v>
      </c>
      <c r="S24">
        <v>1</v>
      </c>
      <c r="T24" t="str">
        <f t="shared" si="0"/>
        <v>0100111000000101</v>
      </c>
      <c r="V24" t="str">
        <f t="shared" si="4"/>
        <v>4E</v>
      </c>
      <c r="W24" t="str">
        <f t="shared" si="5"/>
        <v>05</v>
      </c>
      <c r="X24" t="str">
        <f t="shared" si="6"/>
        <v>4E05</v>
      </c>
    </row>
    <row r="25" spans="1:24" ht="16.2" x14ac:dyDescent="0.3">
      <c r="A25" s="33" t="s">
        <v>102</v>
      </c>
      <c r="B25" s="3" t="s">
        <v>37</v>
      </c>
      <c r="C25" s="36" t="b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 t="str">
        <f t="shared" si="0"/>
        <v>0111000000010000</v>
      </c>
      <c r="V25" t="str">
        <f t="shared" si="4"/>
        <v>70</v>
      </c>
      <c r="W25" t="str">
        <f t="shared" si="5"/>
        <v>10</v>
      </c>
      <c r="X25" t="str">
        <f t="shared" si="6"/>
        <v>7010</v>
      </c>
    </row>
    <row r="26" spans="1:24" ht="16.8" x14ac:dyDescent="0.45">
      <c r="A26" s="33" t="s">
        <v>107</v>
      </c>
      <c r="C26" s="36" t="b">
        <v>1</v>
      </c>
      <c r="D26">
        <v>0</v>
      </c>
      <c r="E26" s="34">
        <v>1</v>
      </c>
      <c r="F26" s="34">
        <v>1</v>
      </c>
      <c r="G26" s="34">
        <v>0</v>
      </c>
      <c r="H26" s="35">
        <v>1</v>
      </c>
      <c r="I26" s="35">
        <v>1</v>
      </c>
      <c r="J26" s="35">
        <v>1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>
        <v>0</v>
      </c>
      <c r="Q26">
        <v>1</v>
      </c>
      <c r="R26">
        <v>0</v>
      </c>
      <c r="S26">
        <v>0</v>
      </c>
      <c r="T26" t="str">
        <f t="shared" si="0"/>
        <v>0110111000000100</v>
      </c>
      <c r="V26" t="str">
        <f t="shared" si="4"/>
        <v>6E</v>
      </c>
      <c r="W26" t="str">
        <f t="shared" si="5"/>
        <v>04</v>
      </c>
      <c r="X26" t="str">
        <f t="shared" si="6"/>
        <v>6E04</v>
      </c>
    </row>
    <row r="27" spans="1:24" ht="16.2" x14ac:dyDescent="0.3">
      <c r="A27" s="33" t="s">
        <v>15</v>
      </c>
      <c r="C27" s="36" t="b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 t="str">
        <f t="shared" si="0"/>
        <v>0000000000001111</v>
      </c>
      <c r="V27" t="str">
        <f t="shared" si="4"/>
        <v>00</v>
      </c>
      <c r="W27" t="str">
        <f t="shared" si="5"/>
        <v>0F</v>
      </c>
      <c r="X27" t="str">
        <f t="shared" si="6"/>
        <v>000F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0208-B938-4056-BC04-B8E97FAFDF79}">
  <dimension ref="A1:X46"/>
  <sheetViews>
    <sheetView tabSelected="1" topLeftCell="A37" workbookViewId="0">
      <selection activeCell="C46" sqref="C46"/>
    </sheetView>
  </sheetViews>
  <sheetFormatPr defaultRowHeight="15" x14ac:dyDescent="0.3"/>
  <cols>
    <col min="1" max="1" width="65.75" bestFit="1" customWidth="1"/>
    <col min="11" max="11" width="19.5" bestFit="1" customWidth="1"/>
    <col min="20" max="20" width="18.375" bestFit="1" customWidth="1"/>
  </cols>
  <sheetData>
    <row r="1" spans="1:24" x14ac:dyDescent="0.3">
      <c r="D1" s="45">
        <v>15</v>
      </c>
      <c r="E1">
        <v>14</v>
      </c>
      <c r="F1">
        <v>13</v>
      </c>
      <c r="G1">
        <v>12</v>
      </c>
      <c r="H1">
        <v>11</v>
      </c>
      <c r="I1">
        <v>10</v>
      </c>
      <c r="J1">
        <v>9</v>
      </c>
      <c r="K1">
        <v>8</v>
      </c>
      <c r="L1">
        <v>7</v>
      </c>
      <c r="M1">
        <v>6</v>
      </c>
      <c r="N1">
        <v>5</v>
      </c>
      <c r="O1">
        <v>4</v>
      </c>
      <c r="P1">
        <v>3</v>
      </c>
      <c r="Q1">
        <v>2</v>
      </c>
      <c r="R1">
        <v>1</v>
      </c>
      <c r="S1">
        <v>0</v>
      </c>
    </row>
    <row r="2" spans="1:24" x14ac:dyDescent="0.3">
      <c r="B2" s="3" t="s">
        <v>36</v>
      </c>
      <c r="C2" s="3"/>
      <c r="D2" s="44" t="s">
        <v>35</v>
      </c>
      <c r="E2" s="21" t="s">
        <v>34</v>
      </c>
      <c r="F2" s="21"/>
      <c r="G2" s="21"/>
      <c r="H2" s="20" t="s">
        <v>33</v>
      </c>
      <c r="I2" s="20"/>
      <c r="J2" s="20"/>
      <c r="K2" s="23" t="s">
        <v>32</v>
      </c>
      <c r="L2" s="23"/>
      <c r="M2" s="23"/>
      <c r="N2" s="24" t="s">
        <v>35</v>
      </c>
      <c r="O2" s="24"/>
      <c r="P2" s="24"/>
      <c r="Q2" s="24"/>
      <c r="R2" s="24"/>
      <c r="S2" s="24"/>
    </row>
    <row r="3" spans="1:24" x14ac:dyDescent="0.3">
      <c r="B3" s="3" t="s">
        <v>37</v>
      </c>
      <c r="C3" s="3"/>
      <c r="D3" s="16" t="s">
        <v>38</v>
      </c>
      <c r="E3" s="21" t="s">
        <v>34</v>
      </c>
      <c r="F3" s="21"/>
      <c r="G3" s="21"/>
      <c r="H3" s="20" t="s">
        <v>33</v>
      </c>
      <c r="I3" s="20"/>
      <c r="J3" s="20"/>
      <c r="K3" s="26" t="s">
        <v>38</v>
      </c>
      <c r="L3" s="26"/>
      <c r="M3" s="26"/>
      <c r="N3" s="26"/>
      <c r="O3" s="26"/>
      <c r="P3" s="24" t="s">
        <v>35</v>
      </c>
      <c r="Q3" s="24"/>
      <c r="R3" s="24"/>
      <c r="S3" s="24"/>
    </row>
    <row r="4" spans="1:24" x14ac:dyDescent="0.3">
      <c r="B4" s="3" t="s">
        <v>122</v>
      </c>
      <c r="C4" s="3"/>
      <c r="D4" s="43" t="s">
        <v>38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24" t="s">
        <v>35</v>
      </c>
      <c r="Q4" s="24"/>
      <c r="R4" s="24"/>
      <c r="S4" s="24"/>
    </row>
    <row r="5" spans="1:24" x14ac:dyDescent="0.3">
      <c r="B5" s="3"/>
      <c r="C5" s="3"/>
      <c r="D5" s="40"/>
      <c r="E5" s="41"/>
      <c r="F5" s="41"/>
      <c r="G5" s="41"/>
      <c r="H5" s="41"/>
      <c r="I5" s="41"/>
      <c r="J5" s="41"/>
      <c r="K5" s="42"/>
      <c r="L5" s="42"/>
      <c r="M5" s="42"/>
      <c r="N5" s="42"/>
      <c r="O5" s="42"/>
    </row>
    <row r="6" spans="1:24" x14ac:dyDescent="0.3">
      <c r="A6" t="s">
        <v>91</v>
      </c>
      <c r="B6" s="3" t="s">
        <v>37</v>
      </c>
      <c r="C6" s="36" t="b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 t="str">
        <f t="shared" ref="T6:T46" si="0">D6&amp;E6&amp;F6&amp;G6&amp;H6&amp;I6&amp;J6&amp;K6&amp;L6&amp;M6&amp;N6&amp;O6&amp;P6&amp;Q6&amp;R6&amp;S6</f>
        <v>0001000000010000</v>
      </c>
      <c r="U6">
        <v>1010</v>
      </c>
      <c r="V6" t="str">
        <f>BIN2HEX(LEFT(T6,8),2)</f>
        <v>10</v>
      </c>
      <c r="W6" t="str">
        <f>BIN2HEX(RIGHT(T6,8),2)</f>
        <v>10</v>
      </c>
      <c r="X6" t="str">
        <f>V6&amp;W6</f>
        <v>1010</v>
      </c>
    </row>
    <row r="7" spans="1:24" x14ac:dyDescent="0.3">
      <c r="A7" t="s">
        <v>86</v>
      </c>
      <c r="B7" s="3" t="s">
        <v>37</v>
      </c>
      <c r="C7" s="36" t="b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 t="str">
        <f t="shared" si="0"/>
        <v>0010000000100000</v>
      </c>
      <c r="U7">
        <v>2020</v>
      </c>
      <c r="V7" t="str">
        <f t="shared" ref="V7:V17" si="1">BIN2HEX(LEFT(T7,8),2)</f>
        <v>20</v>
      </c>
      <c r="W7" t="str">
        <f t="shared" ref="W7:W17" si="2">BIN2HEX(RIGHT(T7,8),2)</f>
        <v>20</v>
      </c>
      <c r="X7" t="str">
        <f t="shared" ref="X7:X17" si="3">V7&amp;W7</f>
        <v>2020</v>
      </c>
    </row>
    <row r="8" spans="1:24" x14ac:dyDescent="0.3">
      <c r="A8" t="s">
        <v>87</v>
      </c>
      <c r="B8" s="3" t="s">
        <v>37</v>
      </c>
      <c r="C8" s="36" t="b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 t="str">
        <f t="shared" si="0"/>
        <v>0011000010100000</v>
      </c>
      <c r="U8" t="s">
        <v>92</v>
      </c>
      <c r="V8" t="str">
        <f t="shared" si="1"/>
        <v>30</v>
      </c>
      <c r="W8" t="str">
        <f t="shared" si="2"/>
        <v>A0</v>
      </c>
      <c r="X8" t="str">
        <f t="shared" si="3"/>
        <v>30A0</v>
      </c>
    </row>
    <row r="9" spans="1:24" ht="16.8" x14ac:dyDescent="0.45">
      <c r="A9" t="s">
        <v>104</v>
      </c>
      <c r="B9" s="3" t="s">
        <v>36</v>
      </c>
      <c r="C9" s="36" t="b">
        <v>1</v>
      </c>
      <c r="D9">
        <v>0</v>
      </c>
      <c r="E9" s="35">
        <v>0</v>
      </c>
      <c r="F9" s="35">
        <v>1</v>
      </c>
      <c r="G9" s="35">
        <v>0</v>
      </c>
      <c r="H9" s="34">
        <v>0</v>
      </c>
      <c r="I9" s="34">
        <v>0</v>
      </c>
      <c r="J9" s="34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 t="str">
        <f t="shared" si="0"/>
        <v>0010001010000001</v>
      </c>
      <c r="V9" t="str">
        <f t="shared" si="1"/>
        <v>22</v>
      </c>
      <c r="W9" t="str">
        <f t="shared" si="2"/>
        <v>81</v>
      </c>
      <c r="X9" t="str">
        <f t="shared" si="3"/>
        <v>2281</v>
      </c>
    </row>
    <row r="10" spans="1:24" ht="16.8" x14ac:dyDescent="0.45">
      <c r="A10" t="s">
        <v>103</v>
      </c>
      <c r="B10" s="3" t="s">
        <v>37</v>
      </c>
      <c r="C10" s="36" t="b">
        <v>1</v>
      </c>
      <c r="D10">
        <v>1</v>
      </c>
      <c r="E10" s="35">
        <v>0</v>
      </c>
      <c r="F10" s="35">
        <v>1</v>
      </c>
      <c r="G10" s="35">
        <v>1</v>
      </c>
      <c r="H10" s="34">
        <v>0</v>
      </c>
      <c r="I10" s="34">
        <v>1</v>
      </c>
      <c r="J10" s="34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0</v>
      </c>
      <c r="T10" t="str">
        <f>D10&amp;E10&amp;F10&amp;G10&amp;H10&amp;I10&amp;J10&amp;K10&amp;L10&amp;M10&amp;N10&amp;O10&amp;P10&amp;Q10&amp;R10&amp;S10</f>
        <v>1011010111111010</v>
      </c>
      <c r="U10" t="s">
        <v>93</v>
      </c>
      <c r="V10" t="str">
        <f t="shared" si="1"/>
        <v>B5</v>
      </c>
      <c r="W10" t="str">
        <f t="shared" si="2"/>
        <v>FA</v>
      </c>
      <c r="X10" t="str">
        <f t="shared" si="3"/>
        <v>B5FA</v>
      </c>
    </row>
    <row r="11" spans="1:24" x14ac:dyDescent="0.3">
      <c r="A11" t="s">
        <v>90</v>
      </c>
      <c r="C11" s="36" t="b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 t="str">
        <f t="shared" si="0"/>
        <v>0000000000001111</v>
      </c>
      <c r="U11" t="s">
        <v>98</v>
      </c>
      <c r="V11" t="str">
        <f t="shared" si="1"/>
        <v>00</v>
      </c>
      <c r="W11" t="str">
        <f t="shared" si="2"/>
        <v>0F</v>
      </c>
      <c r="X11" t="str">
        <f t="shared" si="3"/>
        <v>000F</v>
      </c>
    </row>
    <row r="12" spans="1:24" x14ac:dyDescent="0.3">
      <c r="V12" t="str">
        <f t="shared" si="1"/>
        <v>00</v>
      </c>
      <c r="W12" t="str">
        <f t="shared" si="2"/>
        <v>00</v>
      </c>
      <c r="X12" t="str">
        <f t="shared" si="3"/>
        <v>0000</v>
      </c>
    </row>
    <row r="13" spans="1:24" ht="16.2" x14ac:dyDescent="0.3">
      <c r="A13" s="33" t="s">
        <v>94</v>
      </c>
      <c r="B13" s="3" t="s">
        <v>37</v>
      </c>
      <c r="C13" s="36" t="b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 t="str">
        <f t="shared" si="0"/>
        <v>0001000001100000</v>
      </c>
      <c r="V13" t="str">
        <f t="shared" si="1"/>
        <v>10</v>
      </c>
      <c r="W13" t="str">
        <f t="shared" si="2"/>
        <v>60</v>
      </c>
      <c r="X13" t="str">
        <f t="shared" si="3"/>
        <v>1060</v>
      </c>
    </row>
    <row r="14" spans="1:24" ht="16.2" x14ac:dyDescent="0.3">
      <c r="A14" s="33" t="s">
        <v>95</v>
      </c>
      <c r="B14" s="3" t="s">
        <v>37</v>
      </c>
      <c r="C14" s="36" t="b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 t="str">
        <f t="shared" si="0"/>
        <v>0010000001010000</v>
      </c>
      <c r="V14" t="str">
        <f t="shared" si="1"/>
        <v>20</v>
      </c>
      <c r="W14" t="str">
        <f t="shared" si="2"/>
        <v>50</v>
      </c>
      <c r="X14" t="str">
        <f t="shared" si="3"/>
        <v>2050</v>
      </c>
    </row>
    <row r="15" spans="1:24" ht="16.2" x14ac:dyDescent="0.3">
      <c r="A15" s="33" t="s">
        <v>96</v>
      </c>
      <c r="B15" s="3" t="s">
        <v>37</v>
      </c>
      <c r="C15" s="36" t="b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 t="str">
        <f t="shared" si="0"/>
        <v>0011001000111000</v>
      </c>
      <c r="V15" t="str">
        <f t="shared" si="1"/>
        <v>32</v>
      </c>
      <c r="W15" t="str">
        <f t="shared" si="2"/>
        <v>38</v>
      </c>
      <c r="X15" t="str">
        <f t="shared" si="3"/>
        <v>3238</v>
      </c>
    </row>
    <row r="16" spans="1:24" ht="16.2" x14ac:dyDescent="0.3">
      <c r="A16" s="33" t="s">
        <v>97</v>
      </c>
      <c r="B16" s="3" t="s">
        <v>37</v>
      </c>
      <c r="C16" s="36" t="b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 t="str">
        <f t="shared" si="0"/>
        <v>0100011010001001</v>
      </c>
      <c r="V16" t="str">
        <f t="shared" si="1"/>
        <v>46</v>
      </c>
      <c r="W16" t="str">
        <f t="shared" si="2"/>
        <v>89</v>
      </c>
      <c r="X16" t="str">
        <f t="shared" si="3"/>
        <v>4689</v>
      </c>
    </row>
    <row r="17" spans="1:24" ht="16.2" x14ac:dyDescent="0.3">
      <c r="A17" s="33" t="s">
        <v>15</v>
      </c>
      <c r="C17" s="36" t="b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 t="str">
        <f t="shared" si="0"/>
        <v>0000000000001111</v>
      </c>
      <c r="U17" t="s">
        <v>98</v>
      </c>
      <c r="V17" t="str">
        <f t="shared" si="1"/>
        <v>00</v>
      </c>
      <c r="W17" t="str">
        <f t="shared" si="2"/>
        <v>0F</v>
      </c>
      <c r="X17" t="str">
        <f t="shared" si="3"/>
        <v>000F</v>
      </c>
    </row>
    <row r="19" spans="1:24" ht="16.2" x14ac:dyDescent="0.3">
      <c r="A19" s="33" t="s">
        <v>94</v>
      </c>
      <c r="B19" s="3" t="s">
        <v>37</v>
      </c>
      <c r="C19" s="36" t="b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 t="str">
        <f t="shared" si="0"/>
        <v>0001000001100000</v>
      </c>
      <c r="V19" t="str">
        <f t="shared" ref="V19:V30" si="4">BIN2HEX(LEFT(T19,8),2)</f>
        <v>10</v>
      </c>
      <c r="W19" t="str">
        <f t="shared" ref="W19:W30" si="5">BIN2HEX(RIGHT(T19,8),2)</f>
        <v>60</v>
      </c>
      <c r="X19" t="str">
        <f t="shared" ref="X19:X29" si="6">V19&amp;W19</f>
        <v>1060</v>
      </c>
    </row>
    <row r="20" spans="1:24" ht="16.2" x14ac:dyDescent="0.3">
      <c r="A20" s="33" t="s">
        <v>95</v>
      </c>
      <c r="B20" s="3" t="s">
        <v>37</v>
      </c>
      <c r="C20" s="36" t="b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 t="str">
        <f t="shared" si="0"/>
        <v>0010000001010000</v>
      </c>
      <c r="V20" t="str">
        <f t="shared" si="4"/>
        <v>20</v>
      </c>
      <c r="W20" t="str">
        <f t="shared" si="5"/>
        <v>50</v>
      </c>
      <c r="X20" t="str">
        <f t="shared" si="6"/>
        <v>2050</v>
      </c>
    </row>
    <row r="21" spans="1:24" ht="16.2" x14ac:dyDescent="0.3">
      <c r="A21" s="33" t="s">
        <v>99</v>
      </c>
      <c r="B21" s="3" t="s">
        <v>36</v>
      </c>
      <c r="C21" s="36" t="b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 t="str">
        <f t="shared" si="0"/>
        <v>0010001011000010</v>
      </c>
      <c r="V21" t="str">
        <f t="shared" si="4"/>
        <v>22</v>
      </c>
      <c r="W21" t="str">
        <f t="shared" si="5"/>
        <v>C2</v>
      </c>
      <c r="X21" t="str">
        <f t="shared" si="6"/>
        <v>22C2</v>
      </c>
    </row>
    <row r="22" spans="1:24" ht="16.2" x14ac:dyDescent="0.3">
      <c r="A22" s="33" t="s">
        <v>101</v>
      </c>
      <c r="B22" s="3" t="s">
        <v>37</v>
      </c>
      <c r="C22" s="36" t="b">
        <v>1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tr">
        <f t="shared" si="0"/>
        <v>0111000000000000</v>
      </c>
      <c r="V22" t="str">
        <f t="shared" si="4"/>
        <v>70</v>
      </c>
      <c r="W22" t="str">
        <f t="shared" si="5"/>
        <v>00</v>
      </c>
      <c r="X22" t="str">
        <f t="shared" si="6"/>
        <v>7000</v>
      </c>
    </row>
    <row r="23" spans="1:24" ht="16.8" x14ac:dyDescent="0.45">
      <c r="A23" s="33" t="s">
        <v>105</v>
      </c>
      <c r="C23" s="36" t="b">
        <v>1</v>
      </c>
      <c r="D23">
        <v>0</v>
      </c>
      <c r="E23" s="34">
        <v>0</v>
      </c>
      <c r="F23" s="34">
        <v>1</v>
      </c>
      <c r="G23" s="34">
        <v>1</v>
      </c>
      <c r="H23" s="35">
        <v>1</v>
      </c>
      <c r="I23" s="35">
        <v>1</v>
      </c>
      <c r="J23" s="35">
        <v>1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>
        <v>0</v>
      </c>
      <c r="Q23">
        <v>1</v>
      </c>
      <c r="R23">
        <v>0</v>
      </c>
      <c r="S23">
        <v>1</v>
      </c>
      <c r="T23" t="str">
        <f t="shared" si="0"/>
        <v>0011111000000101</v>
      </c>
      <c r="V23" t="str">
        <f t="shared" si="4"/>
        <v>3E</v>
      </c>
      <c r="W23" t="str">
        <f t="shared" si="5"/>
        <v>05</v>
      </c>
      <c r="X23" t="str">
        <f t="shared" si="6"/>
        <v>3E05</v>
      </c>
    </row>
    <row r="24" spans="1:24" ht="16.2" x14ac:dyDescent="0.3">
      <c r="A24" s="33" t="s">
        <v>100</v>
      </c>
      <c r="B24" s="3" t="s">
        <v>36</v>
      </c>
      <c r="C24" s="36" t="b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 t="str">
        <f t="shared" si="0"/>
        <v>0010001100000011</v>
      </c>
      <c r="V24" t="str">
        <f t="shared" si="4"/>
        <v>23</v>
      </c>
      <c r="W24" t="str">
        <f t="shared" si="5"/>
        <v>03</v>
      </c>
      <c r="X24" t="str">
        <f t="shared" si="6"/>
        <v>2303</v>
      </c>
    </row>
    <row r="25" spans="1:24" ht="16.2" x14ac:dyDescent="0.3">
      <c r="A25" s="33" t="s">
        <v>102</v>
      </c>
      <c r="B25" s="3" t="s">
        <v>37</v>
      </c>
      <c r="C25" s="36" t="b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 t="str">
        <f t="shared" si="0"/>
        <v>0111000000010000</v>
      </c>
      <c r="V25" t="str">
        <f t="shared" si="4"/>
        <v>70</v>
      </c>
      <c r="W25" t="str">
        <f t="shared" si="5"/>
        <v>10</v>
      </c>
      <c r="X25" t="str">
        <f t="shared" si="6"/>
        <v>7010</v>
      </c>
    </row>
    <row r="26" spans="1:24" ht="16.8" x14ac:dyDescent="0.45">
      <c r="A26" s="33" t="s">
        <v>106</v>
      </c>
      <c r="C26" s="36" t="b">
        <v>1</v>
      </c>
      <c r="D26">
        <v>0</v>
      </c>
      <c r="E26" s="34">
        <v>1</v>
      </c>
      <c r="F26" s="34">
        <v>0</v>
      </c>
      <c r="G26" s="34">
        <v>0</v>
      </c>
      <c r="H26" s="35">
        <v>1</v>
      </c>
      <c r="I26" s="35">
        <v>1</v>
      </c>
      <c r="J26" s="35">
        <v>1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>
        <v>0</v>
      </c>
      <c r="Q26">
        <v>1</v>
      </c>
      <c r="R26">
        <v>0</v>
      </c>
      <c r="S26">
        <v>1</v>
      </c>
      <c r="T26" t="str">
        <f t="shared" si="0"/>
        <v>0100111000000101</v>
      </c>
      <c r="V26" t="str">
        <f t="shared" si="4"/>
        <v>4E</v>
      </c>
      <c r="W26" t="str">
        <f t="shared" si="5"/>
        <v>05</v>
      </c>
      <c r="X26" t="str">
        <f t="shared" si="6"/>
        <v>4E05</v>
      </c>
    </row>
    <row r="27" spans="1:24" ht="16.2" x14ac:dyDescent="0.3">
      <c r="A27" s="33" t="s">
        <v>102</v>
      </c>
      <c r="B27" s="3" t="s">
        <v>37</v>
      </c>
      <c r="C27" s="36" t="b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 t="str">
        <f t="shared" si="0"/>
        <v>0111000000010000</v>
      </c>
      <c r="V27" t="str">
        <f t="shared" si="4"/>
        <v>70</v>
      </c>
      <c r="W27" t="str">
        <f t="shared" si="5"/>
        <v>10</v>
      </c>
      <c r="X27" t="str">
        <f t="shared" si="6"/>
        <v>7010</v>
      </c>
    </row>
    <row r="28" spans="1:24" ht="16.8" x14ac:dyDescent="0.45">
      <c r="A28" s="33" t="s">
        <v>107</v>
      </c>
      <c r="C28" s="36" t="b">
        <v>1</v>
      </c>
      <c r="D28">
        <v>0</v>
      </c>
      <c r="E28" s="34">
        <v>1</v>
      </c>
      <c r="F28" s="34">
        <v>1</v>
      </c>
      <c r="G28" s="34">
        <v>0</v>
      </c>
      <c r="H28" s="35">
        <v>1</v>
      </c>
      <c r="I28" s="35">
        <v>1</v>
      </c>
      <c r="J28" s="35">
        <v>1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>
        <v>0</v>
      </c>
      <c r="Q28">
        <v>1</v>
      </c>
      <c r="R28">
        <v>0</v>
      </c>
      <c r="S28">
        <v>0</v>
      </c>
      <c r="T28" t="str">
        <f t="shared" si="0"/>
        <v>0110111000000100</v>
      </c>
      <c r="V28" t="str">
        <f t="shared" si="4"/>
        <v>6E</v>
      </c>
      <c r="W28" t="str">
        <f t="shared" si="5"/>
        <v>04</v>
      </c>
      <c r="X28" t="str">
        <f t="shared" si="6"/>
        <v>6E04</v>
      </c>
    </row>
    <row r="29" spans="1:24" ht="16.2" x14ac:dyDescent="0.3">
      <c r="A29" s="33" t="s">
        <v>15</v>
      </c>
      <c r="C29" s="36" t="b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1</v>
      </c>
      <c r="T29" t="str">
        <f t="shared" si="0"/>
        <v>0000000000001111</v>
      </c>
      <c r="V29" t="str">
        <f t="shared" si="4"/>
        <v>00</v>
      </c>
      <c r="W29" t="str">
        <f t="shared" si="5"/>
        <v>0F</v>
      </c>
      <c r="X29" t="str">
        <f t="shared" si="6"/>
        <v>000F</v>
      </c>
    </row>
    <row r="31" spans="1:24" ht="16.2" x14ac:dyDescent="0.3">
      <c r="A31" s="33" t="s">
        <v>94</v>
      </c>
      <c r="C31" s="36" t="b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 t="str">
        <f t="shared" si="0"/>
        <v>0001000001100000</v>
      </c>
      <c r="V31" t="str">
        <f t="shared" ref="V30:V42" si="7">BIN2HEX(LEFT(T31,8),2)</f>
        <v>10</v>
      </c>
      <c r="W31" t="str">
        <f t="shared" ref="W30:W42" si="8">BIN2HEX(RIGHT(T31,8),2)</f>
        <v>60</v>
      </c>
      <c r="X31" t="str">
        <f t="shared" ref="X30:X42" si="9">V31&amp;W31</f>
        <v>1060</v>
      </c>
    </row>
    <row r="32" spans="1:24" ht="16.2" x14ac:dyDescent="0.3">
      <c r="A32" s="33" t="s">
        <v>113</v>
      </c>
      <c r="C32" s="36" t="b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tr">
        <f t="shared" si="0"/>
        <v>0010000001000000</v>
      </c>
      <c r="V32" t="str">
        <f t="shared" si="7"/>
        <v>20</v>
      </c>
      <c r="W32" t="str">
        <f t="shared" si="8"/>
        <v>40</v>
      </c>
      <c r="X32" t="str">
        <f t="shared" si="9"/>
        <v>2040</v>
      </c>
    </row>
    <row r="33" spans="1:24" ht="16.2" x14ac:dyDescent="0.3">
      <c r="A33" s="33" t="s">
        <v>114</v>
      </c>
      <c r="C33" s="36" t="b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 t="str">
        <f t="shared" si="0"/>
        <v>0000000001111101</v>
      </c>
      <c r="V33" t="str">
        <f t="shared" si="7"/>
        <v>00</v>
      </c>
      <c r="W33" t="str">
        <f t="shared" si="8"/>
        <v>7D</v>
      </c>
      <c r="X33" t="str">
        <f t="shared" si="9"/>
        <v>007D</v>
      </c>
    </row>
    <row r="34" spans="1:24" ht="16.2" x14ac:dyDescent="0.3">
      <c r="A34" s="33" t="s">
        <v>115</v>
      </c>
      <c r="B34" s="3" t="s">
        <v>37</v>
      </c>
      <c r="C34" s="36" t="b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 t="str">
        <f t="shared" si="0"/>
        <v>0100011000000110</v>
      </c>
      <c r="V34" t="str">
        <f t="shared" si="7"/>
        <v>46</v>
      </c>
      <c r="W34" t="str">
        <f t="shared" si="8"/>
        <v>06</v>
      </c>
      <c r="X34" t="str">
        <f t="shared" si="9"/>
        <v>4606</v>
      </c>
    </row>
    <row r="35" spans="1:24" ht="16.2" x14ac:dyDescent="0.3">
      <c r="A35" s="33" t="s">
        <v>116</v>
      </c>
      <c r="C35" s="36" t="b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 t="str">
        <f t="shared" si="0"/>
        <v>0001000001110000</v>
      </c>
      <c r="V35" t="str">
        <f t="shared" si="7"/>
        <v>10</v>
      </c>
      <c r="W35" t="str">
        <f t="shared" si="8"/>
        <v>70</v>
      </c>
      <c r="X35" t="str">
        <f t="shared" si="9"/>
        <v>1070</v>
      </c>
    </row>
    <row r="36" spans="1:24" ht="16.2" x14ac:dyDescent="0.3">
      <c r="A36" s="33" t="s">
        <v>117</v>
      </c>
      <c r="C36" s="36" t="b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tr">
        <f t="shared" si="0"/>
        <v>0010000010000000</v>
      </c>
      <c r="V36" t="str">
        <f t="shared" si="7"/>
        <v>20</v>
      </c>
      <c r="W36" t="str">
        <f t="shared" si="8"/>
        <v>80</v>
      </c>
      <c r="X36" t="str">
        <f t="shared" si="9"/>
        <v>2080</v>
      </c>
    </row>
    <row r="37" spans="1:24" ht="16.2" x14ac:dyDescent="0.3">
      <c r="A37" s="33" t="s">
        <v>118</v>
      </c>
      <c r="C37" s="36" t="b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 t="str">
        <f t="shared" si="0"/>
        <v>0000000000111101</v>
      </c>
      <c r="V37" t="str">
        <f t="shared" si="7"/>
        <v>00</v>
      </c>
      <c r="W37" t="str">
        <f t="shared" si="8"/>
        <v>3D</v>
      </c>
      <c r="X37" t="str">
        <f t="shared" si="9"/>
        <v>003D</v>
      </c>
    </row>
    <row r="38" spans="1:24" ht="16.2" x14ac:dyDescent="0.3">
      <c r="A38" s="33" t="s">
        <v>119</v>
      </c>
      <c r="B38" s="3" t="s">
        <v>37</v>
      </c>
      <c r="C38" s="36" t="b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 t="str">
        <f t="shared" si="0"/>
        <v>0101011000000110</v>
      </c>
      <c r="V38" t="str">
        <f t="shared" si="7"/>
        <v>56</v>
      </c>
      <c r="W38" t="str">
        <f t="shared" si="8"/>
        <v>06</v>
      </c>
      <c r="X38" t="str">
        <f t="shared" si="9"/>
        <v>5606</v>
      </c>
    </row>
    <row r="39" spans="1:24" ht="16.2" x14ac:dyDescent="0.3">
      <c r="A39" s="33" t="s">
        <v>120</v>
      </c>
      <c r="C39" s="36" t="b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 t="str">
        <f t="shared" si="0"/>
        <v>0000000000111100</v>
      </c>
      <c r="V39" t="str">
        <f t="shared" si="7"/>
        <v>00</v>
      </c>
      <c r="W39" t="str">
        <f t="shared" si="8"/>
        <v>3C</v>
      </c>
      <c r="X39" t="str">
        <f t="shared" si="9"/>
        <v>003C</v>
      </c>
    </row>
    <row r="40" spans="1:24" ht="16.2" x14ac:dyDescent="0.3">
      <c r="A40" s="33" t="s">
        <v>121</v>
      </c>
      <c r="C40" s="36" t="b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 t="str">
        <f t="shared" si="0"/>
        <v>0010001011000001</v>
      </c>
      <c r="V40" t="str">
        <f t="shared" si="7"/>
        <v>22</v>
      </c>
      <c r="W40" t="str">
        <f t="shared" si="8"/>
        <v>C1</v>
      </c>
      <c r="X40" t="str">
        <f t="shared" si="9"/>
        <v>22C1</v>
      </c>
    </row>
    <row r="41" spans="1:24" ht="16.2" x14ac:dyDescent="0.3">
      <c r="A41" s="33" t="s">
        <v>14</v>
      </c>
      <c r="C41" s="36" t="b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 t="str">
        <f t="shared" si="0"/>
        <v>0000000000001110</v>
      </c>
      <c r="V41" t="str">
        <f t="shared" si="7"/>
        <v>00</v>
      </c>
      <c r="W41" t="str">
        <f t="shared" si="8"/>
        <v>0E</v>
      </c>
      <c r="X41" t="str">
        <f t="shared" si="9"/>
        <v>000E</v>
      </c>
    </row>
    <row r="42" spans="1:24" ht="16.2" x14ac:dyDescent="0.3">
      <c r="A42" s="33" t="s">
        <v>15</v>
      </c>
      <c r="C42" s="36" t="b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 t="str">
        <f t="shared" si="0"/>
        <v>0000000000001111</v>
      </c>
      <c r="V42" t="str">
        <f t="shared" si="7"/>
        <v>00</v>
      </c>
      <c r="W42" t="str">
        <f t="shared" si="8"/>
        <v>0F</v>
      </c>
      <c r="X42" t="str">
        <f t="shared" si="9"/>
        <v>000F</v>
      </c>
    </row>
    <row r="44" spans="1:24" ht="16.2" x14ac:dyDescent="0.3">
      <c r="A44" s="46" t="s">
        <v>123</v>
      </c>
      <c r="C44" s="36" t="b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 t="str">
        <f t="shared" si="0"/>
        <v>0001000000100000</v>
      </c>
      <c r="V44" t="str">
        <f t="shared" ref="V43:V46" si="10">BIN2HEX(LEFT(T44,8),2)</f>
        <v>10</v>
      </c>
      <c r="W44" t="str">
        <f t="shared" ref="W43:W46" si="11">BIN2HEX(RIGHT(T44,8),2)</f>
        <v>20</v>
      </c>
      <c r="X44" t="str">
        <f t="shared" ref="X43:X46" si="12">V44&amp;W44</f>
        <v>1020</v>
      </c>
    </row>
    <row r="45" spans="1:24" ht="16.2" x14ac:dyDescent="0.3">
      <c r="A45" s="46" t="s">
        <v>124</v>
      </c>
      <c r="C45" s="36" t="b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1</v>
      </c>
      <c r="T45" t="str">
        <f t="shared" si="0"/>
        <v>0010001000010111</v>
      </c>
      <c r="V45" t="str">
        <f t="shared" si="10"/>
        <v>22</v>
      </c>
      <c r="W45" t="str">
        <f t="shared" si="11"/>
        <v>17</v>
      </c>
      <c r="X45" t="str">
        <f t="shared" si="12"/>
        <v>2217</v>
      </c>
    </row>
    <row r="46" spans="1:24" ht="16.2" x14ac:dyDescent="0.3">
      <c r="A46" s="46" t="s">
        <v>15</v>
      </c>
      <c r="C46" s="36" t="b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 t="str">
        <f t="shared" si="0"/>
        <v>0000000000001111</v>
      </c>
      <c r="V46" t="str">
        <f t="shared" si="10"/>
        <v>00</v>
      </c>
      <c r="W46" t="str">
        <f t="shared" si="11"/>
        <v>0F</v>
      </c>
      <c r="X46" t="str">
        <f t="shared" si="12"/>
        <v>000F</v>
      </c>
    </row>
  </sheetData>
  <mergeCells count="10">
    <mergeCell ref="D4:O4"/>
    <mergeCell ref="N2:S2"/>
    <mergeCell ref="P3:S3"/>
    <mergeCell ref="K3:O3"/>
    <mergeCell ref="K2:M2"/>
    <mergeCell ref="P4:S4"/>
    <mergeCell ref="H2:J2"/>
    <mergeCell ref="H3:J3"/>
    <mergeCell ref="E2:G2"/>
    <mergeCell ref="E3:G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工作表1</vt:lpstr>
      <vt:lpstr>工作表2</vt:lpstr>
      <vt:lpstr>test1</vt:lpstr>
      <vt:lpstr>test2</vt:lpstr>
      <vt:lpstr>test3</vt:lpstr>
      <vt:lpstr>test4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CCCC</dc:creator>
  <cp:lastModifiedBy>YUN Tsz Sun</cp:lastModifiedBy>
  <dcterms:created xsi:type="dcterms:W3CDTF">2015-06-05T18:19:34Z</dcterms:created>
  <dcterms:modified xsi:type="dcterms:W3CDTF">2025-12-05T21:12:06Z</dcterms:modified>
</cp:coreProperties>
</file>